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엄혜선\노무서류\근로계약서\시급계산기\"/>
    </mc:Choice>
  </mc:AlternateContent>
  <xr:revisionPtr revIDLastSave="6" documentId="11_E7C901399D81324D884569F4DD78E6EAC386B205" xr6:coauthVersionLast="36" xr6:coauthVersionMax="36" xr10:uidLastSave="{089C11A8-3772-4A7C-9581-3EFBBE9C4005}"/>
  <bookViews>
    <workbookView xWindow="0" yWindow="0" windowWidth="7650" windowHeight="7350" activeTab="1" xr2:uid="{00000000-000D-0000-FFFF-FFFF00000000}"/>
  </bookViews>
  <sheets>
    <sheet name=" 9단 " sheetId="8" r:id="rId1"/>
    <sheet name="신영웅" sheetId="15" r:id="rId2"/>
    <sheet name="금등어" sheetId="13" r:id="rId3"/>
    <sheet name="금등어 (2)" sheetId="16" r:id="rId4"/>
    <sheet name="금막창" sheetId="14" r:id="rId5"/>
    <sheet name="급여명세서" sheetId="10" r:id="rId6"/>
    <sheet name="급여명세서 (2)" sheetId="12" r:id="rId7"/>
  </sheets>
  <externalReferences>
    <externalReference r:id="rId8"/>
  </externalReferences>
  <definedNames>
    <definedName name="_xleta.DB" hidden="1" xlm="1">#NAME?</definedName>
    <definedName name="_xlnm.Print_Area" localSheetId="5">급여명세서!$A$1:$AA$95</definedName>
    <definedName name="_xlnm.Print_Area" localSheetId="6">'급여명세서 (2)'!$A$1:$AA$95</definedName>
    <definedName name="은행명">OFFSET([1]!표2[[#Headers],[은행명]],1,0,COUNTA([1]!표2[은행명]))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86" i="15" l="1"/>
  <c r="D186" i="15"/>
  <c r="C186" i="15"/>
  <c r="Q185" i="15"/>
  <c r="P186" i="15" s="1"/>
  <c r="P185" i="15"/>
  <c r="O185" i="15"/>
  <c r="N185" i="15"/>
  <c r="L185" i="15"/>
  <c r="J186" i="15" s="1"/>
  <c r="K185" i="15"/>
  <c r="I185" i="15"/>
  <c r="G186" i="15" s="1"/>
  <c r="H185" i="15"/>
  <c r="N179" i="15"/>
  <c r="K179" i="15"/>
  <c r="R180" i="15"/>
  <c r="D180" i="15"/>
  <c r="Q179" i="15"/>
  <c r="P180" i="15" s="1"/>
  <c r="P179" i="15"/>
  <c r="O179" i="15"/>
  <c r="L179" i="15"/>
  <c r="J180" i="15" s="1"/>
  <c r="I179" i="15"/>
  <c r="H179" i="15"/>
  <c r="C180" i="15" s="1"/>
  <c r="M186" i="15" l="1"/>
  <c r="V186" i="15"/>
  <c r="U184" i="15"/>
  <c r="G180" i="15"/>
  <c r="M180" i="15"/>
  <c r="U178" i="15"/>
  <c r="V180" i="15"/>
  <c r="D174" i="15"/>
  <c r="D168" i="15"/>
  <c r="C174" i="15"/>
  <c r="B171" i="15" s="1"/>
  <c r="Q173" i="15"/>
  <c r="K173" i="15"/>
  <c r="H173" i="15"/>
  <c r="R174" i="15" l="1"/>
  <c r="I173" i="15"/>
  <c r="G174" i="15" s="1"/>
  <c r="P174" i="15"/>
  <c r="P173" i="15"/>
  <c r="O173" i="15"/>
  <c r="M174" i="15" s="1"/>
  <c r="V174" i="15" s="1"/>
  <c r="L173" i="15"/>
  <c r="J174" i="15" s="1"/>
  <c r="R126" i="8"/>
  <c r="D126" i="8"/>
  <c r="C126" i="8"/>
  <c r="Q125" i="8"/>
  <c r="P126" i="8" s="1"/>
  <c r="P125" i="8"/>
  <c r="O125" i="8"/>
  <c r="M126" i="8" s="1"/>
  <c r="L125" i="8"/>
  <c r="J126" i="8" s="1"/>
  <c r="K125" i="8"/>
  <c r="I125" i="8"/>
  <c r="G126" i="8" s="1"/>
  <c r="H125" i="8"/>
  <c r="U172" i="15" l="1"/>
  <c r="V126" i="8"/>
  <c r="U124" i="8"/>
  <c r="D120" i="8"/>
  <c r="C120" i="8"/>
  <c r="Q119" i="8"/>
  <c r="K119" i="8"/>
  <c r="H119" i="8"/>
  <c r="R120" i="8" l="1"/>
  <c r="I119" i="8"/>
  <c r="G120" i="8" s="1"/>
  <c r="P120" i="8"/>
  <c r="P119" i="8"/>
  <c r="O119" i="8"/>
  <c r="M120" i="8" s="1"/>
  <c r="L119" i="8"/>
  <c r="J120" i="8" s="1"/>
  <c r="V120" i="8" s="1"/>
  <c r="U118" i="8"/>
  <c r="P89" i="8"/>
  <c r="R114" i="8"/>
  <c r="P114" i="8"/>
  <c r="G114" i="8"/>
  <c r="D114" i="8"/>
  <c r="C114" i="8"/>
  <c r="P113" i="8"/>
  <c r="O113" i="8"/>
  <c r="N113" i="8"/>
  <c r="M114" i="8" s="1"/>
  <c r="L113" i="8"/>
  <c r="J114" i="8" s="1"/>
  <c r="K113" i="8"/>
  <c r="I113" i="8"/>
  <c r="H113" i="8"/>
  <c r="V114" i="8" l="1"/>
  <c r="U112" i="8"/>
  <c r="P108" i="8"/>
  <c r="P107" i="8"/>
  <c r="D108" i="8"/>
  <c r="C108" i="8"/>
  <c r="N107" i="8"/>
  <c r="K107" i="8"/>
  <c r="H107" i="8"/>
  <c r="L107" i="8"/>
  <c r="J108" i="8" s="1"/>
  <c r="O107" i="8" l="1"/>
  <c r="M108" i="8"/>
  <c r="I107" i="8"/>
  <c r="G108" i="8" s="1"/>
  <c r="R108" i="8"/>
  <c r="C168" i="15"/>
  <c r="Q167" i="15"/>
  <c r="K167" i="15"/>
  <c r="H167" i="15"/>
  <c r="U106" i="8" l="1"/>
  <c r="V108" i="8"/>
  <c r="R168" i="15"/>
  <c r="I167" i="15"/>
  <c r="G168" i="15" s="1"/>
  <c r="P168" i="15"/>
  <c r="P167" i="15"/>
  <c r="O167" i="15"/>
  <c r="M168" i="15" s="1"/>
  <c r="V168" i="15" s="1"/>
  <c r="L167" i="15"/>
  <c r="J168" i="15" s="1"/>
  <c r="D102" i="8"/>
  <c r="Q101" i="8"/>
  <c r="K101" i="8"/>
  <c r="C102" i="8" s="1"/>
  <c r="U166" i="15" l="1"/>
  <c r="R102" i="8"/>
  <c r="I101" i="8"/>
  <c r="G102" i="8" s="1"/>
  <c r="P102" i="8"/>
  <c r="P101" i="8"/>
  <c r="O101" i="8"/>
  <c r="M102" i="8" s="1"/>
  <c r="L101" i="8"/>
  <c r="J102" i="8" s="1"/>
  <c r="V102" i="8" s="1"/>
  <c r="Q35" i="14"/>
  <c r="U100" i="8" l="1"/>
  <c r="D53" i="14"/>
  <c r="Q52" i="14"/>
  <c r="N52" i="14"/>
  <c r="K52" i="14"/>
  <c r="H52" i="14"/>
  <c r="C53" i="14" s="1"/>
  <c r="B50" i="14" s="1"/>
  <c r="L52" i="14" l="1"/>
  <c r="J53" i="14" s="1"/>
  <c r="R53" i="14"/>
  <c r="P53" i="14"/>
  <c r="I52" i="14"/>
  <c r="G53" i="14" s="1"/>
  <c r="P52" i="14"/>
  <c r="O52" i="14"/>
  <c r="M53" i="14" s="1"/>
  <c r="D96" i="8"/>
  <c r="Q95" i="8"/>
  <c r="K95" i="8"/>
  <c r="H95" i="8"/>
  <c r="C96" i="8" s="1"/>
  <c r="B93" i="8"/>
  <c r="L95" i="8" s="1"/>
  <c r="J96" i="8" l="1"/>
  <c r="V53" i="14"/>
  <c r="U51" i="14"/>
  <c r="O95" i="8"/>
  <c r="M96" i="8" s="1"/>
  <c r="P95" i="8"/>
  <c r="I95" i="8"/>
  <c r="G96" i="8" s="1"/>
  <c r="V96" i="8" s="1"/>
  <c r="P96" i="8"/>
  <c r="R96" i="8"/>
  <c r="D48" i="14"/>
  <c r="N47" i="14"/>
  <c r="K47" i="14"/>
  <c r="H47" i="14"/>
  <c r="U94" i="8" l="1"/>
  <c r="A96" i="8" s="1"/>
  <c r="C48" i="14"/>
  <c r="B45" i="14" s="1"/>
  <c r="P47" i="14" s="1"/>
  <c r="D90" i="8"/>
  <c r="N89" i="8"/>
  <c r="K89" i="8"/>
  <c r="H89" i="8"/>
  <c r="C90" i="8" s="1"/>
  <c r="P48" i="14" l="1"/>
  <c r="I47" i="14"/>
  <c r="G48" i="14" s="1"/>
  <c r="O47" i="14"/>
  <c r="M48" i="14" s="1"/>
  <c r="L47" i="14"/>
  <c r="J48" i="14" s="1"/>
  <c r="R48" i="14"/>
  <c r="R90" i="8"/>
  <c r="P90" i="8"/>
  <c r="I89" i="8"/>
  <c r="G90" i="8" s="1"/>
  <c r="O89" i="8"/>
  <c r="M90" i="8" s="1"/>
  <c r="L89" i="8"/>
  <c r="J90" i="8" s="1"/>
  <c r="P77" i="8"/>
  <c r="D84" i="8"/>
  <c r="Q83" i="8"/>
  <c r="K83" i="8"/>
  <c r="H83" i="8"/>
  <c r="C84" i="8" s="1"/>
  <c r="D78" i="8"/>
  <c r="Q77" i="8"/>
  <c r="P78" i="8" s="1"/>
  <c r="O77" i="8"/>
  <c r="M78" i="8" s="1"/>
  <c r="K77" i="8"/>
  <c r="H77" i="8"/>
  <c r="L77" i="8"/>
  <c r="C78" i="8" l="1"/>
  <c r="V48" i="14"/>
  <c r="U46" i="14"/>
  <c r="U88" i="8"/>
  <c r="V90" i="8"/>
  <c r="J78" i="8"/>
  <c r="R84" i="8"/>
  <c r="I83" i="8"/>
  <c r="G84" i="8" s="1"/>
  <c r="P84" i="8"/>
  <c r="P83" i="8"/>
  <c r="O83" i="8"/>
  <c r="M84" i="8" s="1"/>
  <c r="L83" i="8"/>
  <c r="J84" i="8" s="1"/>
  <c r="V84" i="8" s="1"/>
  <c r="I77" i="8"/>
  <c r="G78" i="8" s="1"/>
  <c r="R78" i="8"/>
  <c r="D72" i="8"/>
  <c r="Q71" i="8"/>
  <c r="N71" i="8"/>
  <c r="K71" i="8"/>
  <c r="H71" i="8"/>
  <c r="C72" i="8" s="1"/>
  <c r="B69" i="8" s="1"/>
  <c r="U82" i="8" l="1"/>
  <c r="U76" i="8"/>
  <c r="A78" i="8" s="1"/>
  <c r="V78" i="8"/>
  <c r="L71" i="8"/>
  <c r="J72" i="8" s="1"/>
  <c r="R72" i="8"/>
  <c r="P72" i="8"/>
  <c r="I71" i="8"/>
  <c r="G72" i="8" s="1"/>
  <c r="P71" i="8"/>
  <c r="O71" i="8"/>
  <c r="M72" i="8" s="1"/>
  <c r="U70" i="8" l="1"/>
  <c r="V72" i="8"/>
  <c r="D42" i="14"/>
  <c r="Q41" i="14"/>
  <c r="N41" i="14"/>
  <c r="K41" i="14"/>
  <c r="H41" i="14"/>
  <c r="C42" i="14" s="1"/>
  <c r="B39" i="14" s="1"/>
  <c r="L41" i="14" l="1"/>
  <c r="J42" i="14" s="1"/>
  <c r="R42" i="14"/>
  <c r="P42" i="14"/>
  <c r="I41" i="14"/>
  <c r="G42" i="14" s="1"/>
  <c r="P41" i="14"/>
  <c r="O41" i="14"/>
  <c r="M42" i="14" s="1"/>
  <c r="Q29" i="8"/>
  <c r="V42" i="14" l="1"/>
  <c r="U40" i="14"/>
  <c r="D66" i="8"/>
  <c r="Q65" i="8"/>
  <c r="K65" i="8"/>
  <c r="H65" i="8"/>
  <c r="D60" i="8"/>
  <c r="Q59" i="8"/>
  <c r="K59" i="8"/>
  <c r="H59" i="8"/>
  <c r="C60" i="8" s="1"/>
  <c r="B57" i="8"/>
  <c r="R60" i="8" s="1"/>
  <c r="Q5" i="8"/>
  <c r="D48" i="8"/>
  <c r="Q47" i="8"/>
  <c r="K47" i="8"/>
  <c r="H47" i="8"/>
  <c r="C48" i="8" s="1"/>
  <c r="B45" i="8" s="1"/>
  <c r="D137" i="16"/>
  <c r="Q136" i="16"/>
  <c r="K136" i="16"/>
  <c r="H136" i="16"/>
  <c r="C137" i="16" s="1"/>
  <c r="B134" i="16" s="1"/>
  <c r="D30" i="8"/>
  <c r="N29" i="8"/>
  <c r="K29" i="8"/>
  <c r="H29" i="8"/>
  <c r="C30" i="8" s="1"/>
  <c r="B27" i="8" s="1"/>
  <c r="C66" i="8" l="1"/>
  <c r="B63" i="8" s="1"/>
  <c r="R66" i="8" s="1"/>
  <c r="L59" i="8"/>
  <c r="J60" i="8" s="1"/>
  <c r="P59" i="8"/>
  <c r="O59" i="8"/>
  <c r="M60" i="8" s="1"/>
  <c r="P60" i="8"/>
  <c r="I59" i="8"/>
  <c r="G60" i="8" s="1"/>
  <c r="P47" i="8"/>
  <c r="O47" i="8"/>
  <c r="M48" i="8" s="1"/>
  <c r="L47" i="8"/>
  <c r="J48" i="8" s="1"/>
  <c r="R48" i="8"/>
  <c r="I47" i="8"/>
  <c r="G48" i="8" s="1"/>
  <c r="V48" i="8" s="1"/>
  <c r="P48" i="8"/>
  <c r="R137" i="16"/>
  <c r="I136" i="16"/>
  <c r="G137" i="16" s="1"/>
  <c r="P137" i="16"/>
  <c r="P136" i="16"/>
  <c r="O136" i="16"/>
  <c r="M137" i="16" s="1"/>
  <c r="L136" i="16"/>
  <c r="J137" i="16" s="1"/>
  <c r="L29" i="8"/>
  <c r="J30" i="8" s="1"/>
  <c r="R30" i="8"/>
  <c r="P29" i="8"/>
  <c r="O29" i="8"/>
  <c r="M30" i="8" s="1"/>
  <c r="P30" i="8"/>
  <c r="I29" i="8"/>
  <c r="G30" i="8" s="1"/>
  <c r="D54" i="8"/>
  <c r="Q53" i="8"/>
  <c r="K53" i="8"/>
  <c r="H53" i="8"/>
  <c r="D42" i="8"/>
  <c r="Q41" i="8"/>
  <c r="K41" i="8"/>
  <c r="H41" i="8"/>
  <c r="C42" i="8" s="1"/>
  <c r="B39" i="8" s="1"/>
  <c r="D36" i="8"/>
  <c r="Q35" i="8"/>
  <c r="K35" i="8"/>
  <c r="H35" i="8"/>
  <c r="D24" i="8"/>
  <c r="Q23" i="8"/>
  <c r="K23" i="8"/>
  <c r="H23" i="8"/>
  <c r="D18" i="8"/>
  <c r="Q17" i="8"/>
  <c r="K17" i="8"/>
  <c r="H17" i="8"/>
  <c r="C18" i="8" s="1"/>
  <c r="B15" i="8" s="1"/>
  <c r="D12" i="8"/>
  <c r="Q11" i="8"/>
  <c r="K11" i="8"/>
  <c r="H11" i="8"/>
  <c r="L65" i="8" l="1"/>
  <c r="J66" i="8" s="1"/>
  <c r="P42" i="8"/>
  <c r="P66" i="8"/>
  <c r="O65" i="8"/>
  <c r="M66" i="8" s="1"/>
  <c r="P65" i="8"/>
  <c r="V137" i="16"/>
  <c r="I65" i="8"/>
  <c r="G66" i="8" s="1"/>
  <c r="V66" i="8" s="1"/>
  <c r="V60" i="8"/>
  <c r="U135" i="16"/>
  <c r="U58" i="8"/>
  <c r="A60" i="8" s="1"/>
  <c r="C24" i="8"/>
  <c r="B21" i="8" s="1"/>
  <c r="P23" i="8" s="1"/>
  <c r="U46" i="8"/>
  <c r="V30" i="8"/>
  <c r="C12" i="8"/>
  <c r="B9" i="8" s="1"/>
  <c r="I11" i="8" s="1"/>
  <c r="G12" i="8" s="1"/>
  <c r="U28" i="8"/>
  <c r="C54" i="8"/>
  <c r="B51" i="8" s="1"/>
  <c r="R42" i="8"/>
  <c r="I41" i="8"/>
  <c r="G42" i="8" s="1"/>
  <c r="P41" i="8"/>
  <c r="L41" i="8"/>
  <c r="J42" i="8" s="1"/>
  <c r="O41" i="8"/>
  <c r="M42" i="8" s="1"/>
  <c r="C36" i="8"/>
  <c r="B33" i="8" s="1"/>
  <c r="P11" i="8"/>
  <c r="O11" i="8"/>
  <c r="M12" i="8" s="1"/>
  <c r="R18" i="8"/>
  <c r="I17" i="8"/>
  <c r="G18" i="8" s="1"/>
  <c r="P17" i="8"/>
  <c r="O17" i="8"/>
  <c r="M18" i="8" s="1"/>
  <c r="L17" i="8"/>
  <c r="J18" i="8" s="1"/>
  <c r="P18" i="8"/>
  <c r="U64" i="8" l="1"/>
  <c r="P24" i="8"/>
  <c r="L23" i="8"/>
  <c r="J24" i="8" s="1"/>
  <c r="O23" i="8"/>
  <c r="M24" i="8" s="1"/>
  <c r="I23" i="8"/>
  <c r="G24" i="8" s="1"/>
  <c r="V24" i="8" s="1"/>
  <c r="R24" i="8"/>
  <c r="P12" i="8"/>
  <c r="R12" i="8"/>
  <c r="L11" i="8"/>
  <c r="J12" i="8" s="1"/>
  <c r="V12" i="8"/>
  <c r="V42" i="8"/>
  <c r="U40" i="8"/>
  <c r="V18" i="8"/>
  <c r="P54" i="8"/>
  <c r="I53" i="8"/>
  <c r="G54" i="8" s="1"/>
  <c r="P53" i="8"/>
  <c r="O53" i="8"/>
  <c r="M54" i="8" s="1"/>
  <c r="L53" i="8"/>
  <c r="J54" i="8" s="1"/>
  <c r="R54" i="8"/>
  <c r="P36" i="8"/>
  <c r="P35" i="8"/>
  <c r="O35" i="8"/>
  <c r="M36" i="8" s="1"/>
  <c r="L35" i="8"/>
  <c r="J36" i="8" s="1"/>
  <c r="R36" i="8"/>
  <c r="I35" i="8"/>
  <c r="G36" i="8" s="1"/>
  <c r="U16" i="8"/>
  <c r="U22" i="8" l="1"/>
  <c r="U10" i="8"/>
  <c r="V54" i="8"/>
  <c r="U52" i="8"/>
  <c r="V36" i="8"/>
  <c r="U34" i="8"/>
  <c r="Q155" i="15" l="1"/>
  <c r="Q149" i="15"/>
  <c r="Q161" i="15"/>
  <c r="Q143" i="15"/>
  <c r="Q137" i="15"/>
  <c r="Q29" i="14"/>
  <c r="Q23" i="14"/>
  <c r="Q11" i="14"/>
  <c r="Q5" i="14"/>
  <c r="D125" i="16"/>
  <c r="Q124" i="16"/>
  <c r="K124" i="16"/>
  <c r="H124" i="16"/>
  <c r="Q112" i="16"/>
  <c r="Q106" i="16"/>
  <c r="D131" i="16"/>
  <c r="B128" i="16"/>
  <c r="Q130" i="16"/>
  <c r="K130" i="16"/>
  <c r="H130" i="16"/>
  <c r="D137" i="13"/>
  <c r="O136" i="13"/>
  <c r="M137" i="13" s="1"/>
  <c r="K136" i="13"/>
  <c r="H136" i="13"/>
  <c r="B134" i="13"/>
  <c r="L136" i="13" s="1"/>
  <c r="Q100" i="16"/>
  <c r="Q94" i="16"/>
  <c r="D119" i="16"/>
  <c r="Q118" i="16"/>
  <c r="K118" i="16"/>
  <c r="H118" i="16"/>
  <c r="B116" i="16"/>
  <c r="I118" i="16" s="1"/>
  <c r="D113" i="16"/>
  <c r="K112" i="16"/>
  <c r="H112" i="16"/>
  <c r="D107" i="16"/>
  <c r="K106" i="16"/>
  <c r="H106" i="16"/>
  <c r="D101" i="16"/>
  <c r="K100" i="16"/>
  <c r="H100" i="16"/>
  <c r="C101" i="16" s="1"/>
  <c r="B98" i="16" s="1"/>
  <c r="D95" i="16"/>
  <c r="K94" i="16"/>
  <c r="H94" i="16"/>
  <c r="D89" i="16"/>
  <c r="Q88" i="16"/>
  <c r="K88" i="16"/>
  <c r="H88" i="16"/>
  <c r="B86" i="16"/>
  <c r="O88" i="16" s="1"/>
  <c r="M89" i="16" s="1"/>
  <c r="D83" i="16"/>
  <c r="Q82" i="16"/>
  <c r="K82" i="16"/>
  <c r="H82" i="16"/>
  <c r="D76" i="16"/>
  <c r="Q75" i="16"/>
  <c r="N75" i="16"/>
  <c r="K75" i="16"/>
  <c r="H75" i="16"/>
  <c r="C76" i="16" s="1"/>
  <c r="B73" i="16"/>
  <c r="P75" i="16" s="1"/>
  <c r="D70" i="16"/>
  <c r="Q69" i="16"/>
  <c r="K69" i="16"/>
  <c r="H69" i="16"/>
  <c r="B67" i="16"/>
  <c r="P69" i="16" s="1"/>
  <c r="D64" i="16"/>
  <c r="Q63" i="16"/>
  <c r="N63" i="16"/>
  <c r="K63" i="16"/>
  <c r="H63" i="16"/>
  <c r="C64" i="16" s="1"/>
  <c r="B61" i="16"/>
  <c r="I63" i="16" s="1"/>
  <c r="D58" i="16"/>
  <c r="Q57" i="16"/>
  <c r="N57" i="16"/>
  <c r="K57" i="16"/>
  <c r="H57" i="16"/>
  <c r="B55" i="16"/>
  <c r="P57" i="16" s="1"/>
  <c r="D52" i="16"/>
  <c r="Q51" i="16"/>
  <c r="N51" i="16"/>
  <c r="K51" i="16"/>
  <c r="H51" i="16"/>
  <c r="B49" i="16"/>
  <c r="R52" i="16" s="1"/>
  <c r="D46" i="16"/>
  <c r="Q45" i="16"/>
  <c r="N45" i="16"/>
  <c r="K45" i="16"/>
  <c r="H45" i="16"/>
  <c r="B43" i="16"/>
  <c r="R46" i="16" s="1"/>
  <c r="D40" i="16"/>
  <c r="Q39" i="16"/>
  <c r="K39" i="16"/>
  <c r="H39" i="16"/>
  <c r="B37" i="16"/>
  <c r="R40" i="16" s="1"/>
  <c r="D34" i="16"/>
  <c r="Q33" i="16"/>
  <c r="N33" i="16"/>
  <c r="K33" i="16"/>
  <c r="H33" i="16"/>
  <c r="B31" i="16"/>
  <c r="O33" i="16" s="1"/>
  <c r="D28" i="16"/>
  <c r="Q27" i="16"/>
  <c r="K27" i="16"/>
  <c r="H27" i="16"/>
  <c r="B25" i="16"/>
  <c r="P27" i="16" s="1"/>
  <c r="D22" i="16"/>
  <c r="Q21" i="16"/>
  <c r="K21" i="16"/>
  <c r="H21" i="16"/>
  <c r="B19" i="16"/>
  <c r="P21" i="16" s="1"/>
  <c r="D16" i="16"/>
  <c r="Q15" i="16"/>
  <c r="K15" i="16"/>
  <c r="H15" i="16"/>
  <c r="B13" i="16"/>
  <c r="P15" i="16" s="1"/>
  <c r="D10" i="16"/>
  <c r="Q9" i="16"/>
  <c r="K9" i="16"/>
  <c r="H9" i="16"/>
  <c r="C10" i="16" s="1"/>
  <c r="B7" i="16"/>
  <c r="P9" i="16" s="1"/>
  <c r="D4" i="16"/>
  <c r="Q3" i="16"/>
  <c r="K3" i="16"/>
  <c r="H3" i="16"/>
  <c r="B1" i="16"/>
  <c r="L3" i="16" s="1"/>
  <c r="C119" i="16" l="1"/>
  <c r="C58" i="16"/>
  <c r="O69" i="16"/>
  <c r="M70" i="16" s="1"/>
  <c r="R58" i="16"/>
  <c r="C137" i="13"/>
  <c r="R70" i="16"/>
  <c r="J137" i="13"/>
  <c r="C46" i="16"/>
  <c r="C113" i="16"/>
  <c r="B110" i="16" s="1"/>
  <c r="P112" i="16" s="1"/>
  <c r="C125" i="16"/>
  <c r="B122" i="16" s="1"/>
  <c r="I69" i="16"/>
  <c r="G70" i="16" s="1"/>
  <c r="V70" i="16" s="1"/>
  <c r="L69" i="16"/>
  <c r="J70" i="16" s="1"/>
  <c r="G64" i="16"/>
  <c r="C89" i="16"/>
  <c r="C34" i="16"/>
  <c r="P3" i="16"/>
  <c r="R28" i="16"/>
  <c r="R4" i="16"/>
  <c r="C22" i="16"/>
  <c r="O3" i="16"/>
  <c r="M4" i="16" s="1"/>
  <c r="G119" i="16"/>
  <c r="P100" i="16"/>
  <c r="O100" i="16"/>
  <c r="M101" i="16" s="1"/>
  <c r="P4" i="16"/>
  <c r="I15" i="16"/>
  <c r="G16" i="16" s="1"/>
  <c r="O39" i="16"/>
  <c r="M40" i="16" s="1"/>
  <c r="P45" i="16"/>
  <c r="P46" i="16" s="1"/>
  <c r="I57" i="16"/>
  <c r="G58" i="16" s="1"/>
  <c r="P39" i="16"/>
  <c r="P40" i="16" s="1"/>
  <c r="P33" i="16"/>
  <c r="P34" i="16" s="1"/>
  <c r="L27" i="16"/>
  <c r="J28" i="16" s="1"/>
  <c r="O57" i="16"/>
  <c r="M58" i="16" s="1"/>
  <c r="P101" i="16"/>
  <c r="L15" i="16"/>
  <c r="L39" i="16"/>
  <c r="J40" i="16" s="1"/>
  <c r="O45" i="16"/>
  <c r="M46" i="16" s="1"/>
  <c r="L57" i="16"/>
  <c r="J58" i="16" s="1"/>
  <c r="I3" i="16"/>
  <c r="G4" i="16" s="1"/>
  <c r="J4" i="16"/>
  <c r="R16" i="16"/>
  <c r="O27" i="16"/>
  <c r="M28" i="16" s="1"/>
  <c r="C52" i="16"/>
  <c r="C107" i="16"/>
  <c r="B104" i="16" s="1"/>
  <c r="O106" i="16" s="1"/>
  <c r="M107" i="16" s="1"/>
  <c r="P28" i="16"/>
  <c r="I39" i="16"/>
  <c r="G40" i="16" s="1"/>
  <c r="J16" i="16"/>
  <c r="O15" i="16"/>
  <c r="M16" i="16" s="1"/>
  <c r="P70" i="16"/>
  <c r="P16" i="16"/>
  <c r="I27" i="16"/>
  <c r="G28" i="16" s="1"/>
  <c r="R131" i="16"/>
  <c r="I130" i="16"/>
  <c r="G131" i="16" s="1"/>
  <c r="P130" i="16"/>
  <c r="O130" i="16"/>
  <c r="M131" i="16" s="1"/>
  <c r="P131" i="16"/>
  <c r="L130" i="16"/>
  <c r="J131" i="16" s="1"/>
  <c r="R137" i="13"/>
  <c r="I136" i="13"/>
  <c r="G137" i="13" s="1"/>
  <c r="V137" i="13" s="1"/>
  <c r="P58" i="16"/>
  <c r="P10" i="16"/>
  <c r="P22" i="16"/>
  <c r="P76" i="16"/>
  <c r="M34" i="16"/>
  <c r="I51" i="16"/>
  <c r="G52" i="16" s="1"/>
  <c r="I75" i="16"/>
  <c r="G76" i="16" s="1"/>
  <c r="L63" i="16"/>
  <c r="J64" i="16" s="1"/>
  <c r="C70" i="16"/>
  <c r="R89" i="16"/>
  <c r="O118" i="16"/>
  <c r="M119" i="16" s="1"/>
  <c r="I88" i="16"/>
  <c r="G89" i="16" s="1"/>
  <c r="I100" i="16"/>
  <c r="G101" i="16" s="1"/>
  <c r="L118" i="16"/>
  <c r="J119" i="16" s="1"/>
  <c r="I9" i="16"/>
  <c r="G10" i="16" s="1"/>
  <c r="I21" i="16"/>
  <c r="G22" i="16" s="1"/>
  <c r="I33" i="16"/>
  <c r="G34" i="16" s="1"/>
  <c r="O51" i="16"/>
  <c r="M52" i="16" s="1"/>
  <c r="R64" i="16"/>
  <c r="C83" i="16"/>
  <c r="B80" i="16" s="1"/>
  <c r="C95" i="16"/>
  <c r="B92" i="16" s="1"/>
  <c r="O94" i="16" s="1"/>
  <c r="M95" i="16" s="1"/>
  <c r="R101" i="16"/>
  <c r="C4" i="16"/>
  <c r="R10" i="16"/>
  <c r="C16" i="16"/>
  <c r="R22" i="16"/>
  <c r="C28" i="16"/>
  <c r="I45" i="16"/>
  <c r="G46" i="16" s="1"/>
  <c r="P51" i="16"/>
  <c r="P52" i="16" s="1"/>
  <c r="L75" i="16"/>
  <c r="J76" i="16" s="1"/>
  <c r="R76" i="16"/>
  <c r="L88" i="16"/>
  <c r="J89" i="16" s="1"/>
  <c r="L100" i="16"/>
  <c r="J101" i="16" s="1"/>
  <c r="R119" i="16"/>
  <c r="L9" i="16"/>
  <c r="J10" i="16" s="1"/>
  <c r="L21" i="16"/>
  <c r="J22" i="16" s="1"/>
  <c r="L33" i="16"/>
  <c r="J34" i="16" s="1"/>
  <c r="R34" i="16"/>
  <c r="C40" i="16"/>
  <c r="O63" i="16"/>
  <c r="M64" i="16" s="1"/>
  <c r="O9" i="16"/>
  <c r="M10" i="16" s="1"/>
  <c r="O21" i="16"/>
  <c r="M22" i="16" s="1"/>
  <c r="L45" i="16"/>
  <c r="J46" i="16" s="1"/>
  <c r="P63" i="16"/>
  <c r="P64" i="16" s="1"/>
  <c r="O75" i="16"/>
  <c r="M76" i="16" s="1"/>
  <c r="L51" i="16"/>
  <c r="J52" i="16" s="1"/>
  <c r="B1" i="15"/>
  <c r="R4" i="15" s="1"/>
  <c r="H3" i="15"/>
  <c r="K3" i="15"/>
  <c r="Q3" i="15"/>
  <c r="D4" i="15"/>
  <c r="B7" i="15"/>
  <c r="O9" i="15" s="1"/>
  <c r="M10" i="15" s="1"/>
  <c r="H9" i="15"/>
  <c r="K9" i="15"/>
  <c r="Q9" i="15"/>
  <c r="D10" i="15"/>
  <c r="B13" i="15"/>
  <c r="I15" i="15" s="1"/>
  <c r="H15" i="15"/>
  <c r="C16" i="15" s="1"/>
  <c r="K15" i="15"/>
  <c r="Q15" i="15"/>
  <c r="D16" i="15"/>
  <c r="B19" i="15"/>
  <c r="O21" i="15" s="1"/>
  <c r="M22" i="15" s="1"/>
  <c r="H21" i="15"/>
  <c r="K21" i="15"/>
  <c r="Q21" i="15"/>
  <c r="D22" i="15"/>
  <c r="B25" i="15"/>
  <c r="R28" i="15" s="1"/>
  <c r="H27" i="15"/>
  <c r="K27" i="15"/>
  <c r="Q27" i="15"/>
  <c r="D28" i="15"/>
  <c r="B31" i="15"/>
  <c r="O33" i="15" s="1"/>
  <c r="H33" i="15"/>
  <c r="K33" i="15"/>
  <c r="N33" i="15"/>
  <c r="Q33" i="15"/>
  <c r="D34" i="15"/>
  <c r="B37" i="15"/>
  <c r="O39" i="15" s="1"/>
  <c r="M40" i="15" s="1"/>
  <c r="H39" i="15"/>
  <c r="I39" i="15"/>
  <c r="K39" i="15"/>
  <c r="Q39" i="15"/>
  <c r="D40" i="15"/>
  <c r="R40" i="15"/>
  <c r="B43" i="15"/>
  <c r="L45" i="15" s="1"/>
  <c r="H45" i="15"/>
  <c r="I45" i="15"/>
  <c r="K45" i="15"/>
  <c r="N45" i="15"/>
  <c r="Q45" i="15"/>
  <c r="D46" i="15"/>
  <c r="B49" i="15"/>
  <c r="P51" i="15" s="1"/>
  <c r="H51" i="15"/>
  <c r="K51" i="15"/>
  <c r="N51" i="15"/>
  <c r="Q51" i="15"/>
  <c r="D52" i="15"/>
  <c r="B55" i="15"/>
  <c r="I57" i="15" s="1"/>
  <c r="H57" i="15"/>
  <c r="G58" i="15" s="1"/>
  <c r="K57" i="15"/>
  <c r="N57" i="15"/>
  <c r="Q57" i="15"/>
  <c r="D58" i="15"/>
  <c r="B61" i="15"/>
  <c r="P63" i="15" s="1"/>
  <c r="H63" i="15"/>
  <c r="I63" i="15"/>
  <c r="K63" i="15"/>
  <c r="L63" i="15"/>
  <c r="N63" i="15"/>
  <c r="O63" i="15"/>
  <c r="Q63" i="15"/>
  <c r="D64" i="15"/>
  <c r="R64" i="15"/>
  <c r="B67" i="15"/>
  <c r="I69" i="15" s="1"/>
  <c r="H69" i="15"/>
  <c r="C70" i="15" s="1"/>
  <c r="K69" i="15"/>
  <c r="Q69" i="15"/>
  <c r="D70" i="15"/>
  <c r="B73" i="15"/>
  <c r="O75" i="15" s="1"/>
  <c r="H75" i="15"/>
  <c r="K75" i="15"/>
  <c r="N75" i="15"/>
  <c r="Q75" i="15"/>
  <c r="D76" i="15"/>
  <c r="H82" i="15"/>
  <c r="K82" i="15"/>
  <c r="Q82" i="15"/>
  <c r="D83" i="15"/>
  <c r="B86" i="15"/>
  <c r="R89" i="15" s="1"/>
  <c r="H88" i="15"/>
  <c r="K88" i="15"/>
  <c r="Q88" i="15"/>
  <c r="D89" i="15"/>
  <c r="B92" i="15"/>
  <c r="L94" i="15" s="1"/>
  <c r="H94" i="15"/>
  <c r="C95" i="15" s="1"/>
  <c r="K94" i="15"/>
  <c r="Q94" i="15"/>
  <c r="D95" i="15"/>
  <c r="B98" i="15"/>
  <c r="L100" i="15" s="1"/>
  <c r="H100" i="15"/>
  <c r="K100" i="15"/>
  <c r="Q100" i="15"/>
  <c r="D101" i="15"/>
  <c r="H106" i="15"/>
  <c r="K106" i="15"/>
  <c r="Q106" i="15"/>
  <c r="D107" i="15"/>
  <c r="B110" i="15"/>
  <c r="L112" i="15" s="1"/>
  <c r="H112" i="15"/>
  <c r="I112" i="15"/>
  <c r="K112" i="15"/>
  <c r="Q112" i="15"/>
  <c r="D113" i="15"/>
  <c r="B116" i="15"/>
  <c r="I118" i="15" s="1"/>
  <c r="H118" i="15"/>
  <c r="K118" i="15"/>
  <c r="Q118" i="15"/>
  <c r="D119" i="15"/>
  <c r="B122" i="15"/>
  <c r="I124" i="15" s="1"/>
  <c r="H124" i="15"/>
  <c r="K124" i="15"/>
  <c r="Q124" i="15"/>
  <c r="D125" i="15"/>
  <c r="B128" i="15"/>
  <c r="R131" i="15" s="1"/>
  <c r="H130" i="15"/>
  <c r="K130" i="15"/>
  <c r="C131" i="15" s="1"/>
  <c r="Q130" i="15"/>
  <c r="D131" i="15"/>
  <c r="D162" i="15"/>
  <c r="K161" i="15"/>
  <c r="H161" i="15"/>
  <c r="C162" i="15" s="1"/>
  <c r="B159" i="15" s="1"/>
  <c r="P161" i="15" s="1"/>
  <c r="D156" i="15"/>
  <c r="N155" i="15"/>
  <c r="K155" i="15"/>
  <c r="H155" i="15"/>
  <c r="D150" i="15"/>
  <c r="K149" i="15"/>
  <c r="H149" i="15"/>
  <c r="D144" i="15"/>
  <c r="K143" i="15"/>
  <c r="H143" i="15"/>
  <c r="D138" i="15"/>
  <c r="K137" i="15"/>
  <c r="H137" i="15"/>
  <c r="D36" i="14"/>
  <c r="N35" i="14"/>
  <c r="K35" i="14"/>
  <c r="H35" i="14"/>
  <c r="D30" i="14"/>
  <c r="N29" i="14"/>
  <c r="K29" i="14"/>
  <c r="H29" i="14"/>
  <c r="D24" i="14"/>
  <c r="N23" i="14"/>
  <c r="K23" i="14"/>
  <c r="H23" i="14"/>
  <c r="C24" i="14" s="1"/>
  <c r="B21" i="14" s="1"/>
  <c r="P23" i="14" s="1"/>
  <c r="D18" i="14"/>
  <c r="N17" i="14"/>
  <c r="K17" i="14"/>
  <c r="H17" i="14"/>
  <c r="D12" i="14"/>
  <c r="N11" i="14"/>
  <c r="K11" i="14"/>
  <c r="H11" i="14"/>
  <c r="C12" i="14" s="1"/>
  <c r="B9" i="14" s="1"/>
  <c r="D6" i="14"/>
  <c r="N5" i="14"/>
  <c r="K5" i="14"/>
  <c r="H5" i="14"/>
  <c r="D6" i="8"/>
  <c r="K5" i="8"/>
  <c r="H5" i="8"/>
  <c r="D131" i="13"/>
  <c r="Q130" i="13"/>
  <c r="K130" i="13"/>
  <c r="H130" i="13"/>
  <c r="B128" i="13"/>
  <c r="L130" i="13" s="1"/>
  <c r="D125" i="13"/>
  <c r="Q124" i="13"/>
  <c r="K124" i="13"/>
  <c r="H124" i="13"/>
  <c r="B122" i="13"/>
  <c r="R125" i="13" s="1"/>
  <c r="D119" i="13"/>
  <c r="Q118" i="13"/>
  <c r="K118" i="13"/>
  <c r="H118" i="13"/>
  <c r="C119" i="13" s="1"/>
  <c r="B116" i="13"/>
  <c r="L118" i="13" s="1"/>
  <c r="B110" i="13"/>
  <c r="D113" i="13"/>
  <c r="Q112" i="13"/>
  <c r="K112" i="13"/>
  <c r="H112" i="13"/>
  <c r="D107" i="13"/>
  <c r="Q106" i="13"/>
  <c r="K106" i="13"/>
  <c r="C107" i="13" s="1"/>
  <c r="B104" i="13" s="1"/>
  <c r="H106" i="13"/>
  <c r="D101" i="13"/>
  <c r="Q100" i="13"/>
  <c r="K100" i="13"/>
  <c r="H100" i="13"/>
  <c r="B98" i="13"/>
  <c r="L100" i="13" s="1"/>
  <c r="J101" i="13" s="1"/>
  <c r="D95" i="13"/>
  <c r="B92" i="13"/>
  <c r="O94" i="13" s="1"/>
  <c r="M95" i="13" s="1"/>
  <c r="Q94" i="13"/>
  <c r="K94" i="13"/>
  <c r="H94" i="13"/>
  <c r="D83" i="13"/>
  <c r="C83" i="15" l="1"/>
  <c r="B80" i="15" s="1"/>
  <c r="C18" i="14"/>
  <c r="B15" i="14" s="1"/>
  <c r="C36" i="14"/>
  <c r="B33" i="14" s="1"/>
  <c r="C22" i="15"/>
  <c r="C95" i="13"/>
  <c r="R113" i="15"/>
  <c r="P3" i="15"/>
  <c r="L3" i="15"/>
  <c r="J4" i="15" s="1"/>
  <c r="R113" i="16"/>
  <c r="O124" i="15"/>
  <c r="M125" i="15" s="1"/>
  <c r="P39" i="15"/>
  <c r="P40" i="15" s="1"/>
  <c r="V40" i="15" s="1"/>
  <c r="C4" i="15"/>
  <c r="R162" i="15"/>
  <c r="L124" i="15"/>
  <c r="O112" i="15"/>
  <c r="M113" i="15" s="1"/>
  <c r="L39" i="15"/>
  <c r="I3" i="15"/>
  <c r="G4" i="15" s="1"/>
  <c r="C113" i="13"/>
  <c r="C125" i="13"/>
  <c r="C156" i="15"/>
  <c r="B153" i="15" s="1"/>
  <c r="P155" i="15" s="1"/>
  <c r="R101" i="15"/>
  <c r="J95" i="15"/>
  <c r="I21" i="15"/>
  <c r="G22" i="15" s="1"/>
  <c r="L9" i="15"/>
  <c r="J10" i="15" s="1"/>
  <c r="P136" i="13"/>
  <c r="P137" i="13" s="1"/>
  <c r="U135" i="13" s="1"/>
  <c r="A137" i="13" s="1"/>
  <c r="U68" i="16"/>
  <c r="A70" i="16" s="1"/>
  <c r="R16" i="15"/>
  <c r="R95" i="16"/>
  <c r="M76" i="15"/>
  <c r="G40" i="15"/>
  <c r="P27" i="15"/>
  <c r="V131" i="16"/>
  <c r="O88" i="15"/>
  <c r="M89" i="15" s="1"/>
  <c r="L75" i="15"/>
  <c r="J76" i="15" s="1"/>
  <c r="O100" i="15"/>
  <c r="M101" i="15" s="1"/>
  <c r="C131" i="13"/>
  <c r="I100" i="15"/>
  <c r="G101" i="15" s="1"/>
  <c r="I27" i="15"/>
  <c r="G28" i="15" s="1"/>
  <c r="L15" i="15"/>
  <c r="J16" i="15" s="1"/>
  <c r="C101" i="13"/>
  <c r="C101" i="15"/>
  <c r="I88" i="15"/>
  <c r="I75" i="15"/>
  <c r="C28" i="15"/>
  <c r="O3" i="15"/>
  <c r="M4" i="15" s="1"/>
  <c r="J64" i="15"/>
  <c r="L33" i="15"/>
  <c r="J34" i="15" s="1"/>
  <c r="L35" i="14"/>
  <c r="J36" i="14" s="1"/>
  <c r="C107" i="15"/>
  <c r="B104" i="15" s="1"/>
  <c r="I106" i="15" s="1"/>
  <c r="G107" i="15" s="1"/>
  <c r="C52" i="15"/>
  <c r="I33" i="15"/>
  <c r="G34" i="15" s="1"/>
  <c r="P11" i="14"/>
  <c r="P12" i="14"/>
  <c r="I11" i="14"/>
  <c r="G12" i="14" s="1"/>
  <c r="P17" i="14"/>
  <c r="P18" i="14"/>
  <c r="L51" i="15"/>
  <c r="J131" i="13"/>
  <c r="I35" i="14"/>
  <c r="G36" i="14" s="1"/>
  <c r="R125" i="15"/>
  <c r="C119" i="15"/>
  <c r="L88" i="15"/>
  <c r="J89" i="15" s="1"/>
  <c r="G70" i="15"/>
  <c r="O27" i="15"/>
  <c r="M28" i="15" s="1"/>
  <c r="I94" i="16"/>
  <c r="G95" i="16" s="1"/>
  <c r="L112" i="16"/>
  <c r="J113" i="16" s="1"/>
  <c r="I23" i="14"/>
  <c r="G24" i="14" s="1"/>
  <c r="I51" i="15"/>
  <c r="G52" i="15" s="1"/>
  <c r="C40" i="15"/>
  <c r="L27" i="15"/>
  <c r="J28" i="15" s="1"/>
  <c r="R10" i="15"/>
  <c r="P94" i="16"/>
  <c r="O35" i="14"/>
  <c r="C34" i="15"/>
  <c r="P24" i="14"/>
  <c r="C6" i="8"/>
  <c r="B3" i="8" s="1"/>
  <c r="O5" i="8" s="1"/>
  <c r="M6" i="8" s="1"/>
  <c r="J40" i="15"/>
  <c r="M34" i="15"/>
  <c r="R22" i="15"/>
  <c r="P15" i="15"/>
  <c r="I9" i="15"/>
  <c r="G10" i="15" s="1"/>
  <c r="L124" i="13"/>
  <c r="J125" i="13" s="1"/>
  <c r="I17" i="14"/>
  <c r="G18" i="14" s="1"/>
  <c r="C125" i="15"/>
  <c r="J113" i="15"/>
  <c r="O15" i="15"/>
  <c r="M16" i="15" s="1"/>
  <c r="C10" i="15"/>
  <c r="G89" i="15"/>
  <c r="V89" i="15" s="1"/>
  <c r="P162" i="15"/>
  <c r="I130" i="15"/>
  <c r="G131" i="15" s="1"/>
  <c r="C113" i="15"/>
  <c r="C64" i="15"/>
  <c r="O51" i="15"/>
  <c r="M52" i="15" s="1"/>
  <c r="G46" i="15"/>
  <c r="L21" i="15"/>
  <c r="J22" i="15" s="1"/>
  <c r="O112" i="16"/>
  <c r="M113" i="16" s="1"/>
  <c r="J125" i="15"/>
  <c r="C76" i="15"/>
  <c r="R52" i="15"/>
  <c r="O124" i="13"/>
  <c r="M125" i="13" s="1"/>
  <c r="R36" i="14"/>
  <c r="J119" i="13"/>
  <c r="C138" i="15"/>
  <c r="B135" i="15" s="1"/>
  <c r="I137" i="15" s="1"/>
  <c r="G138" i="15" s="1"/>
  <c r="J101" i="15"/>
  <c r="R76" i="15"/>
  <c r="R34" i="15"/>
  <c r="I112" i="16"/>
  <c r="G113" i="16" s="1"/>
  <c r="P113" i="16"/>
  <c r="P6" i="8"/>
  <c r="L5" i="8"/>
  <c r="J6" i="8" s="1"/>
  <c r="I106" i="16"/>
  <c r="G107" i="16" s="1"/>
  <c r="V107" i="16" s="1"/>
  <c r="V10" i="16"/>
  <c r="V52" i="16"/>
  <c r="V101" i="16"/>
  <c r="V22" i="16"/>
  <c r="V119" i="16"/>
  <c r="V46" i="16"/>
  <c r="V76" i="16"/>
  <c r="U26" i="16"/>
  <c r="A28" i="16" s="1"/>
  <c r="U2" i="16"/>
  <c r="A4" i="16" s="1"/>
  <c r="V4" i="16"/>
  <c r="V58" i="16"/>
  <c r="V16" i="16"/>
  <c r="U14" i="16"/>
  <c r="A16" i="16" s="1"/>
  <c r="U38" i="16"/>
  <c r="A40" i="16" s="1"/>
  <c r="V40" i="16"/>
  <c r="U56" i="16"/>
  <c r="A58" i="16" s="1"/>
  <c r="V28" i="16"/>
  <c r="L106" i="16"/>
  <c r="J107" i="16" s="1"/>
  <c r="V34" i="16"/>
  <c r="L94" i="16"/>
  <c r="J95" i="16" s="1"/>
  <c r="P107" i="16"/>
  <c r="U129" i="16"/>
  <c r="R107" i="16"/>
  <c r="P95" i="16"/>
  <c r="P106" i="16"/>
  <c r="U20" i="16"/>
  <c r="A22" i="16" s="1"/>
  <c r="U32" i="16"/>
  <c r="A34" i="16" s="1"/>
  <c r="U62" i="16"/>
  <c r="A64" i="16" s="1"/>
  <c r="U74" i="16"/>
  <c r="A76" i="16" s="1"/>
  <c r="P118" i="16"/>
  <c r="P119" i="16" s="1"/>
  <c r="U117" i="16" s="1"/>
  <c r="U50" i="16"/>
  <c r="A52" i="16" s="1"/>
  <c r="V64" i="16"/>
  <c r="U44" i="16"/>
  <c r="A46" i="16" s="1"/>
  <c r="U99" i="16"/>
  <c r="L82" i="16"/>
  <c r="J83" i="16" s="1"/>
  <c r="I82" i="16"/>
  <c r="G83" i="16" s="1"/>
  <c r="O82" i="16"/>
  <c r="M83" i="16" s="1"/>
  <c r="R83" i="16"/>
  <c r="P88" i="16"/>
  <c r="P89" i="16" s="1"/>
  <c r="U87" i="16" s="1"/>
  <c r="A89" i="16" s="1"/>
  <c r="U8" i="16"/>
  <c r="A10" i="16" s="1"/>
  <c r="V89" i="16"/>
  <c r="J52" i="15"/>
  <c r="G16" i="15"/>
  <c r="V16" i="15" s="1"/>
  <c r="M64" i="15"/>
  <c r="M36" i="14"/>
  <c r="P4" i="15"/>
  <c r="V4" i="15" s="1"/>
  <c r="P16" i="15"/>
  <c r="P64" i="15"/>
  <c r="P28" i="15"/>
  <c r="P52" i="15"/>
  <c r="O82" i="15"/>
  <c r="M83" i="15" s="1"/>
  <c r="I82" i="15"/>
  <c r="G83" i="15" s="1"/>
  <c r="R83" i="15"/>
  <c r="L82" i="15"/>
  <c r="J83" i="15" s="1"/>
  <c r="J46" i="15"/>
  <c r="C58" i="15"/>
  <c r="O69" i="15"/>
  <c r="M70" i="15" s="1"/>
  <c r="G119" i="15"/>
  <c r="G76" i="15"/>
  <c r="P69" i="15"/>
  <c r="P70" i="15" s="1"/>
  <c r="G64" i="15"/>
  <c r="L106" i="15"/>
  <c r="J107" i="15" s="1"/>
  <c r="L69" i="15"/>
  <c r="J70" i="15" s="1"/>
  <c r="O57" i="15"/>
  <c r="M58" i="15" s="1"/>
  <c r="V58" i="15" s="1"/>
  <c r="O118" i="15"/>
  <c r="M119" i="15" s="1"/>
  <c r="G113" i="15"/>
  <c r="R95" i="15"/>
  <c r="C89" i="15"/>
  <c r="R70" i="15"/>
  <c r="P45" i="15"/>
  <c r="P46" i="15" s="1"/>
  <c r="C46" i="15"/>
  <c r="O130" i="15"/>
  <c r="M131" i="15" s="1"/>
  <c r="G125" i="15"/>
  <c r="L118" i="15"/>
  <c r="J119" i="15" s="1"/>
  <c r="R107" i="15"/>
  <c r="I94" i="15"/>
  <c r="G95" i="15" s="1"/>
  <c r="R58" i="15"/>
  <c r="L57" i="15"/>
  <c r="J58" i="15" s="1"/>
  <c r="O45" i="15"/>
  <c r="M46" i="15" s="1"/>
  <c r="P33" i="15"/>
  <c r="P34" i="15" s="1"/>
  <c r="P57" i="15"/>
  <c r="P58" i="15" s="1"/>
  <c r="L130" i="15"/>
  <c r="J131" i="15" s="1"/>
  <c r="R119" i="15"/>
  <c r="P75" i="15"/>
  <c r="P76" i="15" s="1"/>
  <c r="P21" i="15"/>
  <c r="P22" i="15" s="1"/>
  <c r="P9" i="15"/>
  <c r="P10" i="15" s="1"/>
  <c r="C150" i="15"/>
  <c r="B147" i="15" s="1"/>
  <c r="L149" i="15" s="1"/>
  <c r="J150" i="15" s="1"/>
  <c r="O94" i="15"/>
  <c r="M95" i="15" s="1"/>
  <c r="C144" i="15"/>
  <c r="B141" i="15" s="1"/>
  <c r="R46" i="15"/>
  <c r="L161" i="15"/>
  <c r="J162" i="15" s="1"/>
  <c r="O161" i="15"/>
  <c r="M162" i="15" s="1"/>
  <c r="O155" i="15"/>
  <c r="M156" i="15" s="1"/>
  <c r="I161" i="15"/>
  <c r="G162" i="15" s="1"/>
  <c r="O143" i="15"/>
  <c r="M144" i="15" s="1"/>
  <c r="R144" i="15"/>
  <c r="O23" i="14"/>
  <c r="M24" i="14" s="1"/>
  <c r="O17" i="14"/>
  <c r="M18" i="14" s="1"/>
  <c r="O11" i="14"/>
  <c r="M12" i="14" s="1"/>
  <c r="V12" i="14" s="1"/>
  <c r="C30" i="14"/>
  <c r="B27" i="14" s="1"/>
  <c r="L29" i="14" s="1"/>
  <c r="J30" i="14" s="1"/>
  <c r="L23" i="14"/>
  <c r="J24" i="14" s="1"/>
  <c r="R24" i="14"/>
  <c r="L17" i="14"/>
  <c r="J18" i="14" s="1"/>
  <c r="R18" i="14"/>
  <c r="L11" i="14"/>
  <c r="J12" i="14" s="1"/>
  <c r="R12" i="14"/>
  <c r="C6" i="14"/>
  <c r="I5" i="8"/>
  <c r="G6" i="8" s="1"/>
  <c r="O130" i="13"/>
  <c r="M131" i="13" s="1"/>
  <c r="I130" i="13"/>
  <c r="G131" i="13" s="1"/>
  <c r="R131" i="13"/>
  <c r="I124" i="13"/>
  <c r="G125" i="13" s="1"/>
  <c r="O118" i="13"/>
  <c r="M119" i="13" s="1"/>
  <c r="I118" i="13"/>
  <c r="G119" i="13" s="1"/>
  <c r="R119" i="13"/>
  <c r="R107" i="13"/>
  <c r="I106" i="13"/>
  <c r="G107" i="13" s="1"/>
  <c r="O106" i="13"/>
  <c r="M107" i="13" s="1"/>
  <c r="L106" i="13"/>
  <c r="J107" i="13" s="1"/>
  <c r="V107" i="13" s="1"/>
  <c r="O100" i="13"/>
  <c r="M101" i="13" s="1"/>
  <c r="I100" i="13"/>
  <c r="G101" i="13" s="1"/>
  <c r="R101" i="13"/>
  <c r="L94" i="13"/>
  <c r="J95" i="13" s="1"/>
  <c r="I94" i="13"/>
  <c r="G95" i="13" s="1"/>
  <c r="R95" i="13"/>
  <c r="V36" i="14" l="1"/>
  <c r="U111" i="16"/>
  <c r="V113" i="16"/>
  <c r="P35" i="14"/>
  <c r="P36" i="14"/>
  <c r="U34" i="14" s="1"/>
  <c r="R138" i="15"/>
  <c r="P88" i="15"/>
  <c r="P89" i="15" s="1"/>
  <c r="U87" i="15" s="1"/>
  <c r="A89" i="15" s="1"/>
  <c r="V28" i="15"/>
  <c r="U14" i="15"/>
  <c r="A16" i="15" s="1"/>
  <c r="I155" i="15"/>
  <c r="G156" i="15" s="1"/>
  <c r="V156" i="15" s="1"/>
  <c r="I29" i="14"/>
  <c r="G30" i="14" s="1"/>
  <c r="O149" i="15"/>
  <c r="M150" i="15" s="1"/>
  <c r="R6" i="8"/>
  <c r="O106" i="15"/>
  <c r="M107" i="15" s="1"/>
  <c r="P5" i="8"/>
  <c r="V107" i="15"/>
  <c r="V95" i="16"/>
  <c r="P156" i="15"/>
  <c r="R156" i="15"/>
  <c r="O29" i="14"/>
  <c r="M30" i="14" s="1"/>
  <c r="O137" i="15"/>
  <c r="M138" i="15" s="1"/>
  <c r="V138" i="15" s="1"/>
  <c r="P118" i="15"/>
  <c r="P119" i="15" s="1"/>
  <c r="U117" i="15" s="1"/>
  <c r="A119" i="15" s="1"/>
  <c r="V52" i="15"/>
  <c r="L155" i="15"/>
  <c r="J156" i="15" s="1"/>
  <c r="V70" i="15"/>
  <c r="U22" i="14"/>
  <c r="U56" i="15"/>
  <c r="A58" i="15" s="1"/>
  <c r="P143" i="15"/>
  <c r="I143" i="15"/>
  <c r="G144" i="15" s="1"/>
  <c r="V144" i="15" s="1"/>
  <c r="P144" i="15"/>
  <c r="P106" i="15"/>
  <c r="P107" i="15" s="1"/>
  <c r="U105" i="15" s="1"/>
  <c r="P82" i="15"/>
  <c r="P83" i="15" s="1"/>
  <c r="U81" i="15" s="1"/>
  <c r="P124" i="13"/>
  <c r="P125" i="13" s="1"/>
  <c r="U123" i="13" s="1"/>
  <c r="P100" i="15"/>
  <c r="P101" i="15" s="1"/>
  <c r="U99" i="15" s="1"/>
  <c r="A101" i="15" s="1"/>
  <c r="P149" i="15"/>
  <c r="P150" i="15"/>
  <c r="R150" i="15"/>
  <c r="P137" i="15"/>
  <c r="L137" i="15"/>
  <c r="J138" i="15" s="1"/>
  <c r="P138" i="15"/>
  <c r="P130" i="15"/>
  <c r="P131" i="15" s="1"/>
  <c r="U129" i="15" s="1"/>
  <c r="A131" i="15" s="1"/>
  <c r="L143" i="15"/>
  <c r="J144" i="15" s="1"/>
  <c r="V46" i="15"/>
  <c r="P130" i="13"/>
  <c r="P131" i="13" s="1"/>
  <c r="U129" i="13" s="1"/>
  <c r="A131" i="13" s="1"/>
  <c r="I149" i="15"/>
  <c r="G150" i="15" s="1"/>
  <c r="P100" i="13"/>
  <c r="P101" i="13" s="1"/>
  <c r="U99" i="13" s="1"/>
  <c r="A101" i="13" s="1"/>
  <c r="P29" i="14"/>
  <c r="P30" i="14"/>
  <c r="R30" i="14"/>
  <c r="U26" i="15"/>
  <c r="A28" i="15" s="1"/>
  <c r="U93" i="16"/>
  <c r="U105" i="16"/>
  <c r="V18" i="14"/>
  <c r="U10" i="14"/>
  <c r="P82" i="16"/>
  <c r="P83" i="16" s="1"/>
  <c r="U81" i="16" s="1"/>
  <c r="V83" i="16"/>
  <c r="P118" i="13"/>
  <c r="P119" i="13" s="1"/>
  <c r="U117" i="13" s="1"/>
  <c r="A119" i="13" s="1"/>
  <c r="V95" i="13"/>
  <c r="P94" i="13"/>
  <c r="P95" i="13" s="1"/>
  <c r="U93" i="13" s="1"/>
  <c r="A95" i="13" s="1"/>
  <c r="V95" i="15"/>
  <c r="U50" i="15"/>
  <c r="A52" i="15" s="1"/>
  <c r="U4" i="8"/>
  <c r="V6" i="8"/>
  <c r="V24" i="14"/>
  <c r="U68" i="15"/>
  <c r="A70" i="15" s="1"/>
  <c r="U32" i="15"/>
  <c r="A34" i="15" s="1"/>
  <c r="U2" i="15"/>
  <c r="A4" i="15" s="1"/>
  <c r="U44" i="15"/>
  <c r="A46" i="15" s="1"/>
  <c r="U38" i="15"/>
  <c r="A40" i="15" s="1"/>
  <c r="V83" i="15"/>
  <c r="P94" i="15"/>
  <c r="P95" i="15" s="1"/>
  <c r="U93" i="15" s="1"/>
  <c r="A95" i="15" s="1"/>
  <c r="V119" i="15"/>
  <c r="V113" i="15"/>
  <c r="P112" i="15"/>
  <c r="P113" i="15" s="1"/>
  <c r="U111" i="15" s="1"/>
  <c r="U74" i="15"/>
  <c r="A76" i="15" s="1"/>
  <c r="V76" i="15"/>
  <c r="V34" i="15"/>
  <c r="U62" i="15"/>
  <c r="A64" i="15" s="1"/>
  <c r="V64" i="15"/>
  <c r="V10" i="15"/>
  <c r="U8" i="15"/>
  <c r="A10" i="15" s="1"/>
  <c r="V131" i="15"/>
  <c r="V22" i="15"/>
  <c r="U20" i="15"/>
  <c r="A22" i="15" s="1"/>
  <c r="V101" i="15"/>
  <c r="V125" i="15"/>
  <c r="P124" i="15"/>
  <c r="P125" i="15" s="1"/>
  <c r="U123" i="15" s="1"/>
  <c r="U160" i="15"/>
  <c r="V162" i="15"/>
  <c r="U16" i="14"/>
  <c r="V131" i="13"/>
  <c r="V125" i="13"/>
  <c r="V119" i="13"/>
  <c r="P106" i="13"/>
  <c r="P107" i="13" s="1"/>
  <c r="U105" i="13" s="1"/>
  <c r="V101" i="13"/>
  <c r="U136" i="15" l="1"/>
  <c r="U154" i="15"/>
  <c r="V30" i="14"/>
  <c r="U28" i="14"/>
  <c r="V150" i="15"/>
  <c r="U148" i="15"/>
  <c r="U142" i="15"/>
  <c r="B55" i="13"/>
  <c r="B61" i="13"/>
  <c r="D89" i="13" l="1"/>
  <c r="Q88" i="13"/>
  <c r="K88" i="13"/>
  <c r="H88" i="13"/>
  <c r="C89" i="13" s="1"/>
  <c r="B86" i="13"/>
  <c r="L88" i="13" s="1"/>
  <c r="J89" i="13" s="1"/>
  <c r="Q82" i="13"/>
  <c r="K82" i="13"/>
  <c r="H82" i="13"/>
  <c r="C83" i="13" s="1"/>
  <c r="B80" i="13" s="1"/>
  <c r="I82" i="13" s="1"/>
  <c r="D76" i="13"/>
  <c r="Q75" i="13"/>
  <c r="N75" i="13"/>
  <c r="K75" i="13"/>
  <c r="H75" i="13"/>
  <c r="B73" i="13"/>
  <c r="R76" i="13" s="1"/>
  <c r="D70" i="13"/>
  <c r="Q69" i="13"/>
  <c r="K69" i="13"/>
  <c r="H69" i="13"/>
  <c r="B67" i="13"/>
  <c r="P69" i="13" s="1"/>
  <c r="D64" i="13"/>
  <c r="Q63" i="13"/>
  <c r="N63" i="13"/>
  <c r="K63" i="13"/>
  <c r="H63" i="13"/>
  <c r="R64" i="13"/>
  <c r="R58" i="13"/>
  <c r="D58" i="13"/>
  <c r="Q57" i="13"/>
  <c r="P57" i="13"/>
  <c r="O57" i="13"/>
  <c r="N57" i="13"/>
  <c r="L57" i="13"/>
  <c r="K57" i="13"/>
  <c r="I57" i="13"/>
  <c r="H57" i="13"/>
  <c r="D52" i="13"/>
  <c r="Q51" i="13"/>
  <c r="N51" i="13"/>
  <c r="K51" i="13"/>
  <c r="H51" i="13"/>
  <c r="C52" i="13" s="1"/>
  <c r="B49" i="13"/>
  <c r="P51" i="13" s="1"/>
  <c r="D46" i="13"/>
  <c r="Q45" i="13"/>
  <c r="N45" i="13"/>
  <c r="K45" i="13"/>
  <c r="H45" i="13"/>
  <c r="C46" i="13" s="1"/>
  <c r="B43" i="13"/>
  <c r="I45" i="13" s="1"/>
  <c r="D40" i="13"/>
  <c r="Q39" i="13"/>
  <c r="K39" i="13"/>
  <c r="H39" i="13"/>
  <c r="B37" i="13"/>
  <c r="P39" i="13" s="1"/>
  <c r="D34" i="13"/>
  <c r="Q33" i="13"/>
  <c r="N33" i="13"/>
  <c r="K33" i="13"/>
  <c r="H33" i="13"/>
  <c r="B31" i="13"/>
  <c r="I33" i="13" s="1"/>
  <c r="G34" i="13" s="1"/>
  <c r="D28" i="13"/>
  <c r="Q27" i="13"/>
  <c r="K27" i="13"/>
  <c r="H27" i="13"/>
  <c r="B25" i="13"/>
  <c r="P27" i="13" s="1"/>
  <c r="D22" i="13"/>
  <c r="Q21" i="13"/>
  <c r="K21" i="13"/>
  <c r="H21" i="13"/>
  <c r="B19" i="13"/>
  <c r="R22" i="13" s="1"/>
  <c r="D16" i="13"/>
  <c r="Q15" i="13"/>
  <c r="K15" i="13"/>
  <c r="H15" i="13"/>
  <c r="B13" i="13"/>
  <c r="I15" i="13" s="1"/>
  <c r="D10" i="13"/>
  <c r="Q9" i="13"/>
  <c r="K9" i="13"/>
  <c r="H9" i="13"/>
  <c r="C10" i="13" s="1"/>
  <c r="B7" i="13"/>
  <c r="R10" i="13" s="1"/>
  <c r="D4" i="13"/>
  <c r="Q3" i="13"/>
  <c r="K3" i="13"/>
  <c r="H3" i="13"/>
  <c r="B1" i="13"/>
  <c r="R4" i="13" s="1"/>
  <c r="C22" i="13" l="1"/>
  <c r="P45" i="13"/>
  <c r="C28" i="13"/>
  <c r="C16" i="13"/>
  <c r="C64" i="13"/>
  <c r="C34" i="13"/>
  <c r="P9" i="13"/>
  <c r="C70" i="13"/>
  <c r="G46" i="13"/>
  <c r="O3" i="13"/>
  <c r="M4" i="13" s="1"/>
  <c r="L3" i="13"/>
  <c r="J4" i="13" s="1"/>
  <c r="R28" i="13"/>
  <c r="I3" i="13"/>
  <c r="G4" i="13" s="1"/>
  <c r="P3" i="13"/>
  <c r="P4" i="13" s="1"/>
  <c r="C76" i="13"/>
  <c r="R70" i="13"/>
  <c r="L82" i="13"/>
  <c r="J83" i="13" s="1"/>
  <c r="R16" i="13"/>
  <c r="C40" i="13"/>
  <c r="M58" i="13"/>
  <c r="O82" i="13"/>
  <c r="M83" i="13" s="1"/>
  <c r="P75" i="13"/>
  <c r="P76" i="13" s="1"/>
  <c r="P58" i="13"/>
  <c r="I69" i="13"/>
  <c r="G70" i="13" s="1"/>
  <c r="P21" i="13"/>
  <c r="P22" i="13" s="1"/>
  <c r="L15" i="13"/>
  <c r="J16" i="13" s="1"/>
  <c r="L69" i="13"/>
  <c r="J70" i="13" s="1"/>
  <c r="O15" i="13"/>
  <c r="M16" i="13" s="1"/>
  <c r="O33" i="13"/>
  <c r="M34" i="13" s="1"/>
  <c r="V34" i="13" s="1"/>
  <c r="O69" i="13"/>
  <c r="M70" i="13" s="1"/>
  <c r="C4" i="13"/>
  <c r="P15" i="13"/>
  <c r="P33" i="13"/>
  <c r="P34" i="13" s="1"/>
  <c r="R83" i="13"/>
  <c r="P16" i="13"/>
  <c r="O45" i="13"/>
  <c r="M46" i="13" s="1"/>
  <c r="V46" i="13" s="1"/>
  <c r="G58" i="13"/>
  <c r="P70" i="13"/>
  <c r="P28" i="13"/>
  <c r="L27" i="13"/>
  <c r="J28" i="13" s="1"/>
  <c r="O27" i="13"/>
  <c r="M28" i="13" s="1"/>
  <c r="I27" i="13"/>
  <c r="J58" i="13"/>
  <c r="P46" i="13"/>
  <c r="P40" i="13"/>
  <c r="P10" i="13"/>
  <c r="P52" i="13"/>
  <c r="V58" i="13"/>
  <c r="L39" i="13"/>
  <c r="J40" i="13" s="1"/>
  <c r="L9" i="13"/>
  <c r="J10" i="13" s="1"/>
  <c r="L21" i="13"/>
  <c r="J22" i="13" s="1"/>
  <c r="L33" i="13"/>
  <c r="J34" i="13" s="1"/>
  <c r="R34" i="13"/>
  <c r="O63" i="13"/>
  <c r="M64" i="13" s="1"/>
  <c r="G83" i="13"/>
  <c r="O88" i="13"/>
  <c r="M89" i="13" s="1"/>
  <c r="O9" i="13"/>
  <c r="M10" i="13" s="1"/>
  <c r="G16" i="13"/>
  <c r="O21" i="13"/>
  <c r="M22" i="13" s="1"/>
  <c r="G28" i="13"/>
  <c r="L45" i="13"/>
  <c r="J46" i="13" s="1"/>
  <c r="R46" i="13"/>
  <c r="P63" i="13"/>
  <c r="P64" i="13" s="1"/>
  <c r="O75" i="13"/>
  <c r="M76" i="13" s="1"/>
  <c r="R40" i="13"/>
  <c r="I51" i="13"/>
  <c r="G52" i="13" s="1"/>
  <c r="L51" i="13"/>
  <c r="J52" i="13" s="1"/>
  <c r="R52" i="13"/>
  <c r="I63" i="13"/>
  <c r="G64" i="13" s="1"/>
  <c r="V64" i="13" s="1"/>
  <c r="O39" i="13"/>
  <c r="M40" i="13" s="1"/>
  <c r="O51" i="13"/>
  <c r="M52" i="13" s="1"/>
  <c r="V52" i="13" s="1"/>
  <c r="L63" i="13"/>
  <c r="J64" i="13" s="1"/>
  <c r="R89" i="13"/>
  <c r="I39" i="13"/>
  <c r="G40" i="13" s="1"/>
  <c r="C58" i="13"/>
  <c r="I75" i="13"/>
  <c r="G76" i="13" s="1"/>
  <c r="I88" i="13"/>
  <c r="G89" i="13" s="1"/>
  <c r="I9" i="13"/>
  <c r="G10" i="13" s="1"/>
  <c r="I21" i="13"/>
  <c r="G22" i="13" s="1"/>
  <c r="L75" i="13"/>
  <c r="J76" i="13" s="1"/>
  <c r="V22" i="13" l="1"/>
  <c r="U20" i="13"/>
  <c r="A22" i="13" s="1"/>
  <c r="P88" i="13"/>
  <c r="P89" i="13" s="1"/>
  <c r="U87" i="13" s="1"/>
  <c r="A89" i="13" s="1"/>
  <c r="U56" i="13"/>
  <c r="A58" i="13" s="1"/>
  <c r="U62" i="13"/>
  <c r="A64" i="13" s="1"/>
  <c r="V10" i="13"/>
  <c r="V83" i="13"/>
  <c r="P82" i="13"/>
  <c r="P83" i="13" s="1"/>
  <c r="U81" i="13" s="1"/>
  <c r="U50" i="13"/>
  <c r="A52" i="13" s="1"/>
  <c r="U32" i="13"/>
  <c r="A34" i="13" s="1"/>
  <c r="V89" i="13"/>
  <c r="U44" i="13"/>
  <c r="A46" i="13" s="1"/>
  <c r="U74" i="13"/>
  <c r="A76" i="13" s="1"/>
  <c r="V76" i="13"/>
  <c r="V40" i="13"/>
  <c r="U38" i="13"/>
  <c r="A40" i="13" s="1"/>
  <c r="V70" i="13"/>
  <c r="U68" i="13"/>
  <c r="A70" i="13" s="1"/>
  <c r="U8" i="13"/>
  <c r="A10" i="13" s="1"/>
  <c r="V28" i="13"/>
  <c r="U26" i="13"/>
  <c r="A28" i="13" s="1"/>
  <c r="U14" i="13"/>
  <c r="A16" i="13" s="1"/>
  <c r="V16" i="13"/>
  <c r="V4" i="13"/>
  <c r="U2" i="13"/>
  <c r="A4" i="13" s="1"/>
  <c r="L112" i="13" l="1"/>
  <c r="J113" i="13"/>
  <c r="O112" i="13"/>
  <c r="M113" i="13" s="1"/>
  <c r="I112" i="13"/>
  <c r="G113" i="13"/>
  <c r="R113" i="13"/>
  <c r="V113" i="13" l="1"/>
  <c r="P112" i="13"/>
  <c r="P113" i="13" s="1"/>
  <c r="U111" i="13" s="1"/>
  <c r="R125" i="16" l="1"/>
  <c r="P124" i="16"/>
  <c r="P125" i="16"/>
  <c r="L124" i="16"/>
  <c r="J125" i="16" s="1"/>
  <c r="O124" i="16"/>
  <c r="M125" i="16" s="1"/>
  <c r="I124" i="16"/>
  <c r="G125" i="16" s="1"/>
  <c r="V125" i="16" l="1"/>
  <c r="U123" i="16"/>
  <c r="B3" i="14"/>
  <c r="I5" i="14" l="1"/>
  <c r="G6" i="14" s="1"/>
  <c r="P6" i="14"/>
  <c r="O5" i="14"/>
  <c r="M6" i="14" s="1"/>
  <c r="V6" i="14" s="1"/>
  <c r="L5" i="14"/>
  <c r="J6" i="14" s="1"/>
  <c r="R6" i="14"/>
  <c r="P5" i="14"/>
  <c r="U4" i="14" l="1"/>
</calcChain>
</file>

<file path=xl/sharedStrings.xml><?xml version="1.0" encoding="utf-8"?>
<sst xmlns="http://schemas.openxmlformats.org/spreadsheetml/2006/main" count="2274" uniqueCount="151">
  <si>
    <t>9.5시간 6일</t>
    <phoneticPr fontId="5" type="noConversion"/>
  </si>
  <si>
    <t>26일근무</t>
    <phoneticPr fontId="5" type="noConversion"/>
  </si>
  <si>
    <t>이름</t>
    <phoneticPr fontId="5" type="noConversion"/>
  </si>
  <si>
    <t>기본수당</t>
    <phoneticPr fontId="5" type="noConversion"/>
  </si>
  <si>
    <t>기본급여</t>
    <phoneticPr fontId="5" type="noConversion"/>
  </si>
  <si>
    <t>운전보조금</t>
    <phoneticPr fontId="5" type="noConversion"/>
  </si>
  <si>
    <t>직급수당</t>
    <phoneticPr fontId="5" type="noConversion"/>
  </si>
  <si>
    <t>연장근로</t>
    <phoneticPr fontId="5" type="noConversion"/>
  </si>
  <si>
    <t>휴일수당</t>
    <phoneticPr fontId="5" type="noConversion"/>
  </si>
  <si>
    <t>대체근로수당</t>
    <phoneticPr fontId="5" type="noConversion"/>
  </si>
  <si>
    <t>야간수당</t>
    <phoneticPr fontId="5" type="noConversion"/>
  </si>
  <si>
    <t>연차수당</t>
    <phoneticPr fontId="5" type="noConversion"/>
  </si>
  <si>
    <t>만근수당</t>
    <phoneticPr fontId="5" type="noConversion"/>
  </si>
  <si>
    <t>상여금</t>
    <phoneticPr fontId="5" type="noConversion"/>
  </si>
  <si>
    <t>시간외수당</t>
    <phoneticPr fontId="5" type="noConversion"/>
  </si>
  <si>
    <t>비정기수당</t>
    <phoneticPr fontId="5" type="noConversion"/>
  </si>
  <si>
    <t>고기9단</t>
    <phoneticPr fontId="5" type="noConversion"/>
  </si>
  <si>
    <t>직위</t>
    <phoneticPr fontId="5" type="noConversion"/>
  </si>
  <si>
    <t>지급액계</t>
    <phoneticPr fontId="5" type="noConversion"/>
  </si>
  <si>
    <t>기본급계</t>
    <phoneticPr fontId="5" type="noConversion"/>
  </si>
  <si>
    <t>9.5시간 5.5일</t>
    <phoneticPr fontId="5" type="noConversion"/>
  </si>
  <si>
    <t>24일근무</t>
    <phoneticPr fontId="5" type="noConversion"/>
  </si>
  <si>
    <t>9.5시간 5일</t>
    <phoneticPr fontId="5" type="noConversion"/>
  </si>
  <si>
    <t>22일근무</t>
    <phoneticPr fontId="5" type="noConversion"/>
  </si>
  <si>
    <t>우수정</t>
    <phoneticPr fontId="5" type="noConversion"/>
  </si>
  <si>
    <t>대리</t>
    <phoneticPr fontId="5" type="noConversion"/>
  </si>
  <si>
    <t>기본정보</t>
    <phoneticPr fontId="5" type="noConversion"/>
  </si>
  <si>
    <t>귀속연월</t>
    <phoneticPr fontId="5" type="noConversion"/>
  </si>
  <si>
    <t>지급일</t>
    <phoneticPr fontId="5" type="noConversion"/>
  </si>
  <si>
    <t>성명</t>
    <phoneticPr fontId="5" type="noConversion"/>
  </si>
  <si>
    <t>엄혜선</t>
  </si>
  <si>
    <t>사원번호</t>
    <phoneticPr fontId="5" type="noConversion"/>
  </si>
  <si>
    <t>부서명</t>
    <phoneticPr fontId="5" type="noConversion"/>
  </si>
  <si>
    <t>고기9단</t>
  </si>
  <si>
    <t>대표</t>
  </si>
  <si>
    <t>연장근로시간</t>
    <phoneticPr fontId="5" type="noConversion"/>
  </si>
  <si>
    <t>야간근로시간</t>
    <phoneticPr fontId="5" type="noConversion"/>
  </si>
  <si>
    <t>휴일근로시간</t>
    <phoneticPr fontId="5" type="noConversion"/>
  </si>
  <si>
    <t>통상시급</t>
    <phoneticPr fontId="5" type="noConversion"/>
  </si>
  <si>
    <t>근로일수</t>
    <phoneticPr fontId="5" type="noConversion"/>
  </si>
  <si>
    <t>총 근로시간</t>
    <phoneticPr fontId="5" type="noConversion"/>
  </si>
  <si>
    <t>항목1</t>
    <phoneticPr fontId="5" type="noConversion"/>
  </si>
  <si>
    <t>항목2</t>
    <phoneticPr fontId="5" type="noConversion"/>
  </si>
  <si>
    <t>항목3</t>
    <phoneticPr fontId="5" type="noConversion"/>
  </si>
  <si>
    <t>항목4</t>
    <phoneticPr fontId="5" type="noConversion"/>
  </si>
  <si>
    <t>항목5</t>
    <phoneticPr fontId="5" type="noConversion"/>
  </si>
  <si>
    <t>항목6</t>
    <phoneticPr fontId="5" type="noConversion"/>
  </si>
  <si>
    <t>항목7</t>
    <phoneticPr fontId="5" type="noConversion"/>
  </si>
  <si>
    <t>항목8</t>
    <phoneticPr fontId="5" type="noConversion"/>
  </si>
  <si>
    <t>항목9</t>
    <phoneticPr fontId="5" type="noConversion"/>
  </si>
  <si>
    <t>항목10</t>
    <phoneticPr fontId="5" type="noConversion"/>
  </si>
  <si>
    <t>지급내역</t>
    <phoneticPr fontId="5" type="noConversion"/>
  </si>
  <si>
    <t>공제내역</t>
    <phoneticPr fontId="5" type="noConversion"/>
  </si>
  <si>
    <t>지급항목</t>
    <phoneticPr fontId="5" type="noConversion"/>
  </si>
  <si>
    <t>지급액</t>
    <phoneticPr fontId="5" type="noConversion"/>
  </si>
  <si>
    <t>공제항목</t>
    <phoneticPr fontId="5" type="noConversion"/>
  </si>
  <si>
    <t>공제액</t>
    <phoneticPr fontId="5" type="noConversion"/>
  </si>
  <si>
    <t>기본급</t>
  </si>
  <si>
    <t>국민연금</t>
  </si>
  <si>
    <t>연장근로수당</t>
  </si>
  <si>
    <t>건강보험</t>
  </si>
  <si>
    <t>휴일근로수당</t>
  </si>
  <si>
    <t>장기요양보험</t>
  </si>
  <si>
    <t>연차수당</t>
  </si>
  <si>
    <t>고용보험</t>
  </si>
  <si>
    <t>직무수당</t>
  </si>
  <si>
    <t>만근수당</t>
  </si>
  <si>
    <t>지급합계</t>
    <phoneticPr fontId="5" type="noConversion"/>
  </si>
  <si>
    <t>공제합계</t>
    <phoneticPr fontId="5" type="noConversion"/>
  </si>
  <si>
    <t>실 지급액</t>
    <phoneticPr fontId="5" type="noConversion"/>
  </si>
  <si>
    <t>산출식 또는 산출방법</t>
    <phoneticPr fontId="5" type="noConversion"/>
  </si>
  <si>
    <t>항목명</t>
    <phoneticPr fontId="5" type="noConversion"/>
  </si>
  <si>
    <t>산출방법</t>
    <phoneticPr fontId="5" type="noConversion"/>
  </si>
  <si>
    <t>연장근로시간x통상시급x1.5</t>
  </si>
  <si>
    <t>귀하의 노고에 감사드립니다.</t>
    <phoneticPr fontId="5" type="noConversion"/>
  </si>
  <si>
    <t>고기9단</t>
    <phoneticPr fontId="5" type="noConversion"/>
  </si>
  <si>
    <t>엄혜선</t>
    <phoneticPr fontId="5" type="noConversion"/>
  </si>
  <si>
    <t>소득세</t>
    <phoneticPr fontId="5" type="noConversion"/>
  </si>
  <si>
    <t>지방소득세</t>
    <phoneticPr fontId="5" type="noConversion"/>
  </si>
  <si>
    <t>수습공제</t>
    <phoneticPr fontId="5" type="noConversion"/>
  </si>
  <si>
    <t>기본급</t>
    <phoneticPr fontId="5" type="noConversion"/>
  </si>
  <si>
    <t>연장근로수당</t>
    <phoneticPr fontId="5" type="noConversion"/>
  </si>
  <si>
    <t>휴일근로수당</t>
    <phoneticPr fontId="5" type="noConversion"/>
  </si>
  <si>
    <t>대체근로수당</t>
    <phoneticPr fontId="5" type="noConversion"/>
  </si>
  <si>
    <t>고명옥</t>
    <phoneticPr fontId="5" type="noConversion"/>
  </si>
  <si>
    <t>팀장</t>
    <phoneticPr fontId="5" type="noConversion"/>
  </si>
  <si>
    <t>점장</t>
    <phoneticPr fontId="5" type="noConversion"/>
  </si>
  <si>
    <t>김호엽</t>
    <phoneticPr fontId="5" type="noConversion"/>
  </si>
  <si>
    <t>금막창</t>
    <phoneticPr fontId="5" type="noConversion"/>
  </si>
  <si>
    <t>9시간 6일</t>
    <phoneticPr fontId="5" type="noConversion"/>
  </si>
  <si>
    <t>김구현</t>
    <phoneticPr fontId="5" type="noConversion"/>
  </si>
  <si>
    <t>육부장</t>
    <phoneticPr fontId="5" type="noConversion"/>
  </si>
  <si>
    <t>4.5시간 6일</t>
    <phoneticPr fontId="5" type="noConversion"/>
  </si>
  <si>
    <t>26일근무/오전</t>
    <phoneticPr fontId="5" type="noConversion"/>
  </si>
  <si>
    <t>26일근무/오후</t>
    <phoneticPr fontId="5" type="noConversion"/>
  </si>
  <si>
    <t>26일근무/10.5-22.5</t>
    <phoneticPr fontId="5" type="noConversion"/>
  </si>
  <si>
    <t>금등어</t>
    <phoneticPr fontId="5" type="noConversion"/>
  </si>
  <si>
    <t>이옥경</t>
    <phoneticPr fontId="5" type="noConversion"/>
  </si>
  <si>
    <t>*기존급여와 70400차이</t>
    <phoneticPr fontId="5" type="noConversion"/>
  </si>
  <si>
    <t>이중호</t>
    <phoneticPr fontId="5" type="noConversion"/>
  </si>
  <si>
    <t>과장</t>
    <phoneticPr fontId="5" type="noConversion"/>
  </si>
  <si>
    <t>*test</t>
    <phoneticPr fontId="5" type="noConversion"/>
  </si>
  <si>
    <t>*기존급여와 126,920 차이</t>
    <phoneticPr fontId="5" type="noConversion"/>
  </si>
  <si>
    <t>*기존급여와 104,700차이</t>
    <phoneticPr fontId="5" type="noConversion"/>
  </si>
  <si>
    <t>*기존급여와 81,520차이</t>
    <phoneticPr fontId="5" type="noConversion"/>
  </si>
  <si>
    <t>김민정</t>
    <phoneticPr fontId="5" type="noConversion"/>
  </si>
  <si>
    <t>*기존급여와 42,280차이</t>
    <phoneticPr fontId="5" type="noConversion"/>
  </si>
  <si>
    <t>이혜정</t>
    <phoneticPr fontId="5" type="noConversion"/>
  </si>
  <si>
    <t>유은주</t>
    <phoneticPr fontId="5" type="noConversion"/>
  </si>
  <si>
    <t>*기존급여와 16,450차이</t>
    <phoneticPr fontId="5" type="noConversion"/>
  </si>
  <si>
    <t>사원</t>
    <phoneticPr fontId="5" type="noConversion"/>
  </si>
  <si>
    <t>김미숙</t>
    <phoneticPr fontId="5" type="noConversion"/>
  </si>
  <si>
    <t>*기존급여와 -40차이</t>
    <phoneticPr fontId="5" type="noConversion"/>
  </si>
  <si>
    <t xml:space="preserve">김미숙 정명화 윤정호 </t>
    <phoneticPr fontId="5" type="noConversion"/>
  </si>
  <si>
    <t>박시정</t>
    <phoneticPr fontId="5" type="noConversion"/>
  </si>
  <si>
    <t xml:space="preserve">/황성준 최미라 수습 </t>
    <phoneticPr fontId="5" type="noConversion"/>
  </si>
  <si>
    <t>수습</t>
    <phoneticPr fontId="5" type="noConversion"/>
  </si>
  <si>
    <t>26일근무/야30</t>
    <phoneticPr fontId="5" type="noConversion"/>
  </si>
  <si>
    <t>10시 30분 / 11시 출근 동일 하게 작성</t>
    <phoneticPr fontId="5" type="noConversion"/>
  </si>
  <si>
    <t>11시30분 주 야간 6시간 기입 (6일기준)</t>
    <phoneticPr fontId="5" type="noConversion"/>
  </si>
  <si>
    <t>10시30분~11시 주 야간 3시간 기입 (6일기준)</t>
    <phoneticPr fontId="5" type="noConversion"/>
  </si>
  <si>
    <t>*포크팬이태옥확인</t>
    <phoneticPr fontId="5" type="noConversion"/>
  </si>
  <si>
    <t>*배영희</t>
    <phoneticPr fontId="5" type="noConversion"/>
  </si>
  <si>
    <t>신영웅</t>
    <phoneticPr fontId="5" type="noConversion"/>
  </si>
  <si>
    <t>김혜숙</t>
    <phoneticPr fontId="5" type="noConversion"/>
  </si>
  <si>
    <t>김성향</t>
    <phoneticPr fontId="5" type="noConversion"/>
  </si>
  <si>
    <t>김성훈</t>
    <phoneticPr fontId="5" type="noConversion"/>
  </si>
  <si>
    <t>김순자</t>
    <phoneticPr fontId="5" type="noConversion"/>
  </si>
  <si>
    <t>이건림</t>
    <phoneticPr fontId="5" type="noConversion"/>
  </si>
  <si>
    <t>26일근무/야60</t>
    <phoneticPr fontId="5" type="noConversion"/>
  </si>
  <si>
    <t>문규림</t>
    <phoneticPr fontId="5" type="noConversion"/>
  </si>
  <si>
    <t>조정옥</t>
    <phoneticPr fontId="5" type="noConversion"/>
  </si>
  <si>
    <t>찬모</t>
    <phoneticPr fontId="5" type="noConversion"/>
  </si>
  <si>
    <t>임부돈</t>
    <phoneticPr fontId="5" type="noConversion"/>
  </si>
  <si>
    <t>***</t>
    <phoneticPr fontId="5" type="noConversion"/>
  </si>
  <si>
    <t>이도경</t>
    <phoneticPr fontId="5" type="noConversion"/>
  </si>
  <si>
    <t>서명경</t>
    <phoneticPr fontId="5" type="noConversion"/>
  </si>
  <si>
    <t>이건우</t>
    <phoneticPr fontId="5" type="noConversion"/>
  </si>
  <si>
    <t xml:space="preserve"> </t>
    <phoneticPr fontId="5" type="noConversion"/>
  </si>
  <si>
    <t>포크팬 배영희 이태옥 &lt;&lt;</t>
    <phoneticPr fontId="5" type="noConversion"/>
  </si>
  <si>
    <t xml:space="preserve">지미자 </t>
    <phoneticPr fontId="5" type="noConversion"/>
  </si>
  <si>
    <t>5시간 6일</t>
    <phoneticPr fontId="5" type="noConversion"/>
  </si>
  <si>
    <t>26일근무/야60</t>
    <phoneticPr fontId="5" type="noConversion"/>
  </si>
  <si>
    <t>곽명숙</t>
    <phoneticPr fontId="5" type="noConversion"/>
  </si>
  <si>
    <t>18-23시 근무</t>
    <phoneticPr fontId="5" type="noConversion"/>
  </si>
  <si>
    <t>9시간 5.5일</t>
    <phoneticPr fontId="5" type="noConversion"/>
  </si>
  <si>
    <t>수습사원</t>
    <phoneticPr fontId="5" type="noConversion"/>
  </si>
  <si>
    <t>5시간 4일</t>
    <phoneticPr fontId="5" type="noConversion"/>
  </si>
  <si>
    <t>18일근무</t>
    <phoneticPr fontId="5" type="noConversion"/>
  </si>
  <si>
    <t>소정근로 8.5</t>
    <phoneticPr fontId="5" type="noConversion"/>
  </si>
  <si>
    <t>야간근로 3.5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</si>
</sst>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_-* #,##0_-;\-* #,##0_-;_-* &quot;-&quot;?_-;_-@_-"/>
    <numFmt numFmtId="177" formatCode="0.0_);\(0.0\)"/>
    <numFmt numFmtId="178" formatCode="_-* #,##0_-;\-* #,##0_-;_-* &quot;-&quot;??_-;_-@_-"/>
    <numFmt numFmtId="179" formatCode="_(* #,##0_);_(* \(#,##0\);_(* &quot;-&quot;_);_(@_)"/>
    <numFmt numFmtId="180" formatCode="yyyy&quot;년&quot;\ m&quot;월 급여명세서&quot;;@"/>
    <numFmt numFmtId="181" formatCode="yyyy&quot;년&quot;\ m&quot;월&quot;;@"/>
    <numFmt numFmtId="182" formatCode="m&quot;월&quot;\ d&quot;일&quot;;@"/>
    <numFmt numFmtId="183" formatCode="#,##0_ ;[Red]\-#,##0\ "/>
    <numFmt numFmtId="184" formatCode="#,##0_ "/>
    <numFmt numFmtId="185" formatCode="yyyy&quot;년&quot;\ m&quot;월&quot;\ d&quot;일&quot;;@"/>
    <numFmt numFmtId="186" formatCode="0.00_);[Red]\(0.00\)"/>
    <numFmt numFmtId="187" formatCode="0_);\(0\)"/>
    <numFmt numFmtId="188" formatCode="0.0"/>
  </numFmts>
  <fonts count="5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3F3F3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1"/>
      <color rgb="FFFA7D00"/>
      <name val="맑은 고딕"/>
      <family val="3"/>
      <charset val="129"/>
    </font>
    <font>
      <b/>
      <sz val="17"/>
      <color theme="0"/>
      <name val="맑은 고딕"/>
      <family val="3"/>
      <charset val="129"/>
      <scheme val="minor"/>
    </font>
    <font>
      <sz val="9"/>
      <color theme="0" tint="-9.9978637043366805E-2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b/>
      <sz val="20"/>
      <name val="Verdana"/>
      <family val="2"/>
    </font>
    <font>
      <b/>
      <sz val="20"/>
      <color theme="1"/>
      <name val="Verdana"/>
      <family val="2"/>
    </font>
    <font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1"/>
      <name val="Verdana"/>
      <family val="2"/>
    </font>
    <font>
      <b/>
      <sz val="12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0"/>
      <name val="Verdana"/>
      <family val="2"/>
    </font>
    <font>
      <sz val="10"/>
      <color theme="1" tint="0.249977111117893"/>
      <name val="맑은 고딕"/>
      <family val="3"/>
      <charset val="129"/>
      <scheme val="minor"/>
    </font>
    <font>
      <sz val="10"/>
      <color theme="1" tint="0.249977111117893"/>
      <name val="Verdana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rgb="FF000000"/>
      <name val="맑은 고딕"/>
      <family val="3"/>
      <charset val="129"/>
    </font>
    <font>
      <sz val="9"/>
      <color rgb="FF000000"/>
      <name val="Verdana"/>
      <family val="2"/>
    </font>
    <font>
      <b/>
      <sz val="9"/>
      <color rgb="FF000000"/>
      <name val="맑은 고딕"/>
      <family val="3"/>
      <charset val="129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Verdana"/>
      <family val="2"/>
    </font>
    <font>
      <sz val="9"/>
      <color theme="1"/>
      <name val="맑은 고딕"/>
      <family val="2"/>
      <charset val="129"/>
      <scheme val="minor"/>
    </font>
    <font>
      <b/>
      <sz val="9"/>
      <color rgb="FF000000"/>
      <name val="Verdana"/>
      <family val="3"/>
      <charset val="129"/>
    </font>
    <font>
      <b/>
      <sz val="9"/>
      <color theme="1"/>
      <name val="맑은 고딕"/>
      <family val="2"/>
      <charset val="129"/>
      <scheme val="minor"/>
    </font>
    <font>
      <b/>
      <sz val="9"/>
      <color rgb="FF000000"/>
      <name val="Verdana"/>
      <family val="2"/>
    </font>
    <font>
      <b/>
      <sz val="9"/>
      <color theme="1"/>
      <name val="Verdana"/>
      <family val="2"/>
    </font>
    <font>
      <u/>
      <sz val="9"/>
      <color theme="0" tint="-0.14999847407452621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b/>
      <sz val="10"/>
      <color rgb="FF262626"/>
      <name val="맑은 고딕"/>
      <family val="3"/>
      <charset val="129"/>
      <scheme val="minor"/>
    </font>
    <font>
      <b/>
      <sz val="10"/>
      <color rgb="FF262626"/>
      <name val="맑은 고딕"/>
      <family val="3"/>
      <charset val="129"/>
    </font>
    <font>
      <sz val="10"/>
      <color theme="1" tint="0.249977111117893"/>
      <name val="맑은 고딕"/>
      <family val="2"/>
      <scheme val="minor"/>
    </font>
    <font>
      <sz val="10"/>
      <color theme="1"/>
      <name val="맑은 고딕"/>
      <family val="2"/>
      <charset val="129"/>
      <scheme val="minor"/>
    </font>
    <font>
      <sz val="9"/>
      <name val="Verdana"/>
      <family val="2"/>
    </font>
    <font>
      <b/>
      <sz val="12"/>
      <color theme="1"/>
      <name val="맑은 고딕"/>
      <family val="3"/>
      <charset val="129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2"/>
      <color theme="1"/>
      <name val="맑은 고딕"/>
      <family val="3"/>
      <charset val="129"/>
      <scheme val="major"/>
    </font>
    <font>
      <sz val="10"/>
      <color theme="1" tint="0.249977111117893"/>
      <name val="맑은 고딕"/>
      <family val="3"/>
      <charset val="129"/>
      <scheme val="maj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5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7F8FB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9999"/>
        <bgColor indexed="64"/>
      </patternFill>
    </fill>
    <fill>
      <patternFill patternType="solid">
        <fgColor theme="4"/>
      </patternFill>
    </fill>
    <fill>
      <patternFill patternType="solid">
        <fgColor theme="7" tint="0.39997558519241921"/>
        <bgColor indexed="65"/>
      </patternFill>
    </fill>
  </fills>
  <borders count="3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rgb="FF595959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hair">
        <color theme="0" tint="-0.14999847407452621"/>
      </top>
      <bottom/>
      <diagonal/>
    </border>
    <border>
      <left/>
      <right/>
      <top style="thin">
        <color rgb="FF595959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rgb="FF595959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rgb="FF595959"/>
      </top>
      <bottom style="thin">
        <color rgb="FFCCCCCC"/>
      </bottom>
      <diagonal/>
    </border>
    <border>
      <left/>
      <right/>
      <top style="thin">
        <color rgb="FFCCCCCC"/>
      </top>
      <bottom style="thin">
        <color rgb="FFCCCCCC"/>
      </bottom>
      <diagonal/>
    </border>
    <border>
      <left style="thin">
        <color rgb="FF7F7F7F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3F3F3F"/>
      </left>
      <right/>
      <top style="thin">
        <color rgb="FF7F7F7F"/>
      </top>
      <bottom style="thin">
        <color rgb="FF7F7F7F"/>
      </bottom>
      <diagonal/>
    </border>
  </borders>
  <cellStyleXfs count="1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2" applyNumberFormat="0" applyAlignment="0" applyProtection="0">
      <alignment vertical="center"/>
    </xf>
    <xf numFmtId="0" fontId="3" fillId="2" borderId="1" applyNumberFormat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179" fontId="1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</cellStyleXfs>
  <cellXfs count="177">
    <xf numFmtId="0" fontId="0" fillId="0" borderId="0" xfId="0">
      <alignment vertical="center"/>
    </xf>
    <xf numFmtId="0" fontId="0" fillId="0" borderId="0" xfId="0" applyAlignment="1">
      <alignment vertical="center"/>
    </xf>
    <xf numFmtId="0" fontId="6" fillId="2" borderId="2" xfId="2" applyFont="1" applyAlignment="1">
      <alignment horizontal="center" vertical="center"/>
    </xf>
    <xf numFmtId="41" fontId="6" fillId="2" borderId="2" xfId="1" applyFont="1" applyFill="1" applyBorder="1">
      <alignment vertical="center"/>
    </xf>
    <xf numFmtId="0" fontId="6" fillId="2" borderId="2" xfId="2" applyFont="1">
      <alignment vertical="center"/>
    </xf>
    <xf numFmtId="43" fontId="7" fillId="3" borderId="2" xfId="4" applyNumberFormat="1" applyFont="1" applyBorder="1">
      <alignment vertical="center"/>
    </xf>
    <xf numFmtId="177" fontId="0" fillId="0" borderId="0" xfId="0" applyNumberFormat="1">
      <alignment vertical="center"/>
    </xf>
    <xf numFmtId="0" fontId="1" fillId="4" borderId="2" xfId="5" applyBorder="1" applyAlignment="1">
      <alignment horizontal="center" vertical="center"/>
    </xf>
    <xf numFmtId="0" fontId="1" fillId="5" borderId="2" xfId="6" applyBorder="1" applyAlignment="1">
      <alignment horizontal="center" vertical="center"/>
    </xf>
    <xf numFmtId="0" fontId="1" fillId="6" borderId="2" xfId="7" applyBorder="1" applyAlignment="1">
      <alignment horizontal="center" vertical="center"/>
    </xf>
    <xf numFmtId="0" fontId="8" fillId="2" borderId="1" xfId="3" applyFont="1">
      <alignment vertical="center"/>
    </xf>
    <xf numFmtId="41" fontId="8" fillId="2" borderId="1" xfId="3" applyNumberFormat="1" applyFont="1">
      <alignment vertical="center"/>
    </xf>
    <xf numFmtId="41" fontId="8" fillId="2" borderId="1" xfId="1" applyFont="1" applyFill="1" applyBorder="1">
      <alignment vertical="center"/>
    </xf>
    <xf numFmtId="0" fontId="8" fillId="2" borderId="1" xfId="3" applyFont="1" applyAlignment="1">
      <alignment vertical="center"/>
    </xf>
    <xf numFmtId="177" fontId="8" fillId="2" borderId="1" xfId="3" applyNumberFormat="1" applyFont="1">
      <alignment vertical="center"/>
    </xf>
    <xf numFmtId="176" fontId="8" fillId="2" borderId="1" xfId="3" applyNumberFormat="1" applyFont="1">
      <alignment vertical="center"/>
    </xf>
    <xf numFmtId="0" fontId="8" fillId="2" borderId="1" xfId="3" applyFont="1" applyAlignment="1">
      <alignment horizontal="right" vertical="center"/>
    </xf>
    <xf numFmtId="14" fontId="6" fillId="2" borderId="2" xfId="2" applyNumberFormat="1" applyFont="1">
      <alignment vertical="center"/>
    </xf>
    <xf numFmtId="178" fontId="7" fillId="3" borderId="2" xfId="4" applyNumberFormat="1" applyFont="1" applyBorder="1">
      <alignment vertical="center"/>
    </xf>
    <xf numFmtId="14" fontId="6" fillId="2" borderId="2" xfId="2" applyNumberFormat="1" applyFont="1" applyAlignment="1">
      <alignment horizontal="center" vertical="center"/>
    </xf>
    <xf numFmtId="41" fontId="6" fillId="2" borderId="2" xfId="1" applyFont="1" applyFill="1" applyBorder="1" applyAlignment="1">
      <alignment horizontal="center" vertical="center"/>
    </xf>
    <xf numFmtId="41" fontId="8" fillId="7" borderId="1" xfId="1" applyFont="1" applyFill="1" applyBorder="1">
      <alignment vertical="center"/>
    </xf>
    <xf numFmtId="0" fontId="8" fillId="7" borderId="1" xfId="3" applyFont="1" applyFill="1" applyAlignment="1">
      <alignment horizontal="right" vertical="center"/>
    </xf>
    <xf numFmtId="0" fontId="0" fillId="0" borderId="0" xfId="0" applyProtection="1">
      <alignment vertical="center"/>
      <protection locked="0"/>
    </xf>
    <xf numFmtId="0" fontId="10" fillId="0" borderId="0" xfId="0" applyFont="1" applyAlignment="1">
      <alignment horizontal="right"/>
    </xf>
    <xf numFmtId="0" fontId="11" fillId="0" borderId="0" xfId="0" applyFont="1" applyProtection="1">
      <alignment vertical="center"/>
      <protection locked="0"/>
    </xf>
    <xf numFmtId="0" fontId="14" fillId="0" borderId="0" xfId="0" applyFont="1" applyProtection="1">
      <alignment vertical="center"/>
      <protection locked="0"/>
    </xf>
    <xf numFmtId="0" fontId="15" fillId="0" borderId="0" xfId="0" applyFont="1" applyProtection="1">
      <alignment vertical="center"/>
      <protection locked="0"/>
    </xf>
    <xf numFmtId="0" fontId="16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right" vertical="center"/>
      <protection locked="0"/>
    </xf>
    <xf numFmtId="0" fontId="26" fillId="0" borderId="0" xfId="0" applyFont="1" applyAlignment="1" applyProtection="1">
      <alignment horizontal="center" vertical="center" shrinkToFit="1"/>
      <protection locked="0"/>
    </xf>
    <xf numFmtId="183" fontId="26" fillId="0" borderId="0" xfId="0" applyNumberFormat="1" applyFont="1" applyAlignment="1" applyProtection="1">
      <alignment vertical="center" shrinkToFit="1"/>
      <protection locked="0"/>
    </xf>
    <xf numFmtId="0" fontId="30" fillId="0" borderId="0" xfId="0" applyFont="1" applyAlignment="1" applyProtection="1">
      <alignment horizontal="center" vertical="center" shrinkToFit="1"/>
      <protection locked="0"/>
    </xf>
    <xf numFmtId="0" fontId="11" fillId="0" borderId="16" xfId="0" applyFont="1" applyBorder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35" fillId="0" borderId="0" xfId="0" applyFont="1" applyAlignment="1" applyProtection="1">
      <alignment vertical="top"/>
      <protection locked="0"/>
    </xf>
    <xf numFmtId="0" fontId="36" fillId="0" borderId="0" xfId="0" applyFont="1" applyAlignment="1">
      <alignment vertical="top"/>
    </xf>
    <xf numFmtId="0" fontId="14" fillId="0" borderId="0" xfId="0" applyFont="1" applyProtection="1">
      <alignment vertical="center"/>
      <protection locked="0"/>
    </xf>
    <xf numFmtId="183" fontId="17" fillId="0" borderId="0" xfId="0" applyNumberFormat="1" applyFont="1" applyAlignment="1" applyProtection="1">
      <alignment vertical="center" shrinkToFit="1"/>
      <protection locked="0"/>
    </xf>
    <xf numFmtId="183" fontId="37" fillId="0" borderId="0" xfId="0" applyNumberFormat="1" applyFont="1" applyAlignment="1" applyProtection="1">
      <alignment vertical="center" shrinkToFit="1"/>
      <protection locked="0"/>
    </xf>
    <xf numFmtId="0" fontId="38" fillId="0" borderId="0" xfId="0" applyFont="1" applyProtection="1">
      <alignment vertical="center"/>
      <protection locked="0"/>
    </xf>
    <xf numFmtId="183" fontId="41" fillId="0" borderId="0" xfId="0" applyNumberFormat="1" applyFont="1" applyAlignment="1" applyProtection="1">
      <alignment vertical="center" shrinkToFit="1"/>
      <protection locked="0"/>
    </xf>
    <xf numFmtId="42" fontId="11" fillId="0" borderId="0" xfId="0" applyNumberFormat="1" applyFont="1" applyProtection="1">
      <alignment vertical="center"/>
      <protection locked="0"/>
    </xf>
    <xf numFmtId="0" fontId="42" fillId="0" borderId="0" xfId="0" applyFont="1" applyProtection="1">
      <alignment vertical="center"/>
      <protection locked="0"/>
    </xf>
    <xf numFmtId="42" fontId="11" fillId="0" borderId="19" xfId="0" applyNumberFormat="1" applyFont="1" applyBorder="1" applyAlignment="1" applyProtection="1">
      <alignment horizontal="left" vertical="center"/>
      <protection locked="0"/>
    </xf>
    <xf numFmtId="0" fontId="11" fillId="0" borderId="19" xfId="0" applyFont="1" applyBorder="1" applyProtection="1">
      <alignment vertical="center"/>
      <protection locked="0"/>
    </xf>
    <xf numFmtId="42" fontId="11" fillId="0" borderId="19" xfId="0" applyNumberFormat="1" applyFont="1" applyBorder="1" applyProtection="1">
      <alignment vertical="center"/>
      <protection locked="0"/>
    </xf>
    <xf numFmtId="184" fontId="11" fillId="0" borderId="19" xfId="0" applyNumberFormat="1" applyFont="1" applyBorder="1" applyProtection="1">
      <alignment vertical="center"/>
      <protection locked="0"/>
    </xf>
    <xf numFmtId="0" fontId="9" fillId="0" borderId="0" xfId="8" applyNumberFormat="1" applyFont="1" applyFill="1" applyBorder="1" applyAlignment="1">
      <alignment vertical="center"/>
    </xf>
    <xf numFmtId="0" fontId="0" fillId="10" borderId="0" xfId="0" applyFill="1" applyProtection="1">
      <alignment vertical="center"/>
      <protection locked="0"/>
    </xf>
    <xf numFmtId="0" fontId="11" fillId="11" borderId="0" xfId="0" applyFont="1" applyFill="1" applyProtection="1">
      <alignment vertical="center"/>
      <protection locked="0"/>
    </xf>
    <xf numFmtId="0" fontId="54" fillId="11" borderId="0" xfId="0" applyFont="1" applyFill="1" applyProtection="1">
      <alignment vertical="center"/>
      <protection locked="0"/>
    </xf>
    <xf numFmtId="42" fontId="40" fillId="0" borderId="22" xfId="8" applyNumberFormat="1" applyFont="1" applyFill="1" applyBorder="1" applyAlignment="1" applyProtection="1">
      <alignment horizontal="left" vertical="center"/>
      <protection locked="0"/>
    </xf>
    <xf numFmtId="0" fontId="0" fillId="10" borderId="0" xfId="0" applyFill="1">
      <alignment vertical="center"/>
    </xf>
    <xf numFmtId="178" fontId="8" fillId="2" borderId="1" xfId="3" applyNumberFormat="1" applyFont="1">
      <alignment vertical="center"/>
    </xf>
    <xf numFmtId="0" fontId="1" fillId="12" borderId="2" xfId="9" applyBorder="1" applyAlignment="1">
      <alignment horizontal="center" vertical="center"/>
    </xf>
    <xf numFmtId="0" fontId="0" fillId="12" borderId="2" xfId="9" applyFont="1" applyBorder="1" applyAlignment="1">
      <alignment horizontal="center" vertical="center"/>
    </xf>
    <xf numFmtId="178" fontId="6" fillId="2" borderId="2" xfId="1" applyNumberFormat="1" applyFont="1" applyFill="1" applyBorder="1" applyAlignment="1">
      <alignment horizontal="center" vertical="center"/>
    </xf>
    <xf numFmtId="186" fontId="8" fillId="2" borderId="1" xfId="3" applyNumberFormat="1" applyFont="1">
      <alignment vertical="center"/>
    </xf>
    <xf numFmtId="186" fontId="0" fillId="0" borderId="0" xfId="0" applyNumberFormat="1">
      <alignment vertical="center"/>
    </xf>
    <xf numFmtId="41" fontId="1" fillId="6" borderId="2" xfId="1" applyFill="1" applyBorder="1" applyAlignment="1">
      <alignment vertical="center"/>
    </xf>
    <xf numFmtId="41" fontId="0" fillId="6" borderId="2" xfId="1" applyFont="1" applyFill="1" applyBorder="1" applyAlignment="1">
      <alignment vertical="center"/>
    </xf>
    <xf numFmtId="41" fontId="7" fillId="3" borderId="2" xfId="1" applyFont="1" applyFill="1" applyBorder="1" applyAlignment="1">
      <alignment vertical="center"/>
    </xf>
    <xf numFmtId="0" fontId="8" fillId="2" borderId="23" xfId="3" applyFont="1" applyBorder="1">
      <alignment vertical="center"/>
    </xf>
    <xf numFmtId="43" fontId="0" fillId="0" borderId="0" xfId="0" applyNumberFormat="1">
      <alignment vertical="center"/>
    </xf>
    <xf numFmtId="41" fontId="0" fillId="0" borderId="0" xfId="1" applyFont="1">
      <alignment vertical="center"/>
    </xf>
    <xf numFmtId="0" fontId="55" fillId="2" borderId="0" xfId="3" applyFont="1" applyBorder="1">
      <alignment vertical="center"/>
    </xf>
    <xf numFmtId="0" fontId="49" fillId="0" borderId="0" xfId="0" applyFont="1">
      <alignment vertical="center"/>
    </xf>
    <xf numFmtId="0" fontId="8" fillId="2" borderId="0" xfId="3" applyFont="1" applyBorder="1" applyAlignment="1">
      <alignment vertical="center" wrapText="1"/>
    </xf>
    <xf numFmtId="187" fontId="8" fillId="2" borderId="1" xfId="3" applyNumberFormat="1" applyFont="1">
      <alignment vertical="center"/>
    </xf>
    <xf numFmtId="1" fontId="8" fillId="2" borderId="1" xfId="3" applyNumberFormat="1" applyFont="1" applyAlignment="1">
      <alignment vertical="center"/>
    </xf>
    <xf numFmtId="0" fontId="0" fillId="13" borderId="2" xfId="9" applyFont="1" applyFill="1" applyBorder="1" applyAlignment="1">
      <alignment horizontal="center" vertical="center"/>
    </xf>
    <xf numFmtId="0" fontId="0" fillId="13" borderId="2" xfId="6" applyFont="1" applyFill="1" applyBorder="1" applyAlignment="1">
      <alignment horizontal="center" vertical="center"/>
    </xf>
    <xf numFmtId="0" fontId="1" fillId="13" borderId="2" xfId="6" applyFill="1" applyBorder="1" applyAlignment="1">
      <alignment horizontal="center" vertical="center"/>
    </xf>
    <xf numFmtId="0" fontId="4" fillId="14" borderId="2" xfId="10" applyBorder="1" applyAlignment="1">
      <alignment horizontal="center" vertical="center"/>
    </xf>
    <xf numFmtId="178" fontId="1" fillId="15" borderId="2" xfId="11" applyNumberFormat="1" applyBorder="1">
      <alignment vertical="center"/>
    </xf>
    <xf numFmtId="188" fontId="8" fillId="2" borderId="1" xfId="3" applyNumberFormat="1" applyFont="1">
      <alignment vertical="center"/>
    </xf>
    <xf numFmtId="0" fontId="0" fillId="5" borderId="2" xfId="6" applyFont="1" applyBorder="1" applyAlignment="1">
      <alignment horizontal="center" vertical="center"/>
    </xf>
    <xf numFmtId="0" fontId="0" fillId="4" borderId="2" xfId="5" applyFont="1" applyBorder="1" applyAlignment="1">
      <alignment horizontal="center" vertical="center"/>
    </xf>
    <xf numFmtId="0" fontId="8" fillId="2" borderId="1" xfId="3" applyFont="1" applyAlignment="1">
      <alignment horizontal="center" vertical="center"/>
    </xf>
    <xf numFmtId="41" fontId="8" fillId="2" borderId="1" xfId="3" applyNumberFormat="1" applyFont="1" applyAlignment="1">
      <alignment horizontal="center" vertical="center"/>
    </xf>
    <xf numFmtId="41" fontId="8" fillId="2" borderId="5" xfId="1" applyFont="1" applyFill="1" applyBorder="1" applyAlignment="1">
      <alignment horizontal="center" vertical="center"/>
    </xf>
    <xf numFmtId="41" fontId="8" fillId="2" borderId="6" xfId="1" applyFont="1" applyFill="1" applyBorder="1" applyAlignment="1">
      <alignment horizontal="center" vertical="center"/>
    </xf>
    <xf numFmtId="0" fontId="8" fillId="2" borderId="5" xfId="3" applyFont="1" applyBorder="1" applyAlignment="1">
      <alignment horizontal="center" vertical="center"/>
    </xf>
    <xf numFmtId="0" fontId="8" fillId="2" borderId="6" xfId="3" applyFont="1" applyBorder="1" applyAlignment="1">
      <alignment horizontal="center" vertical="center"/>
    </xf>
    <xf numFmtId="176" fontId="8" fillId="2" borderId="1" xfId="3" applyNumberFormat="1" applyFont="1" applyAlignment="1">
      <alignment horizontal="center" vertical="center"/>
    </xf>
    <xf numFmtId="178" fontId="8" fillId="2" borderId="1" xfId="3" applyNumberFormat="1" applyFont="1" applyAlignment="1">
      <alignment horizontal="center" vertical="center"/>
    </xf>
    <xf numFmtId="41" fontId="8" fillId="2" borderId="3" xfId="3" applyNumberFormat="1" applyFont="1" applyBorder="1" applyAlignment="1">
      <alignment horizontal="center" vertical="center"/>
    </xf>
    <xf numFmtId="41" fontId="8" fillId="2" borderId="4" xfId="3" applyNumberFormat="1" applyFont="1" applyBorder="1" applyAlignment="1">
      <alignment horizontal="center" vertical="center"/>
    </xf>
    <xf numFmtId="41" fontId="8" fillId="7" borderId="5" xfId="1" applyFont="1" applyFill="1" applyBorder="1" applyAlignment="1">
      <alignment horizontal="center" vertical="center"/>
    </xf>
    <xf numFmtId="41" fontId="8" fillId="7" borderId="6" xfId="1" applyFont="1" applyFill="1" applyBorder="1" applyAlignment="1">
      <alignment horizontal="center" vertical="center"/>
    </xf>
    <xf numFmtId="0" fontId="8" fillId="7" borderId="5" xfId="3" applyFont="1" applyFill="1" applyBorder="1" applyAlignment="1">
      <alignment horizontal="center" vertical="center"/>
    </xf>
    <xf numFmtId="0" fontId="8" fillId="7" borderId="6" xfId="3" applyFont="1" applyFill="1" applyBorder="1" applyAlignment="1">
      <alignment horizontal="center" vertical="center"/>
    </xf>
    <xf numFmtId="0" fontId="8" fillId="2" borderId="31" xfId="3" applyFont="1" applyBorder="1" applyAlignment="1">
      <alignment horizontal="center" vertical="center"/>
    </xf>
    <xf numFmtId="0" fontId="8" fillId="2" borderId="24" xfId="3" applyFont="1" applyBorder="1" applyAlignment="1">
      <alignment horizontal="center" vertical="center"/>
    </xf>
    <xf numFmtId="0" fontId="8" fillId="2" borderId="4" xfId="3" applyFont="1" applyBorder="1" applyAlignment="1">
      <alignment horizontal="center" vertical="center"/>
    </xf>
    <xf numFmtId="0" fontId="8" fillId="2" borderId="3" xfId="3" applyFont="1" applyBorder="1" applyAlignment="1">
      <alignment horizontal="center" vertical="center"/>
    </xf>
    <xf numFmtId="41" fontId="8" fillId="2" borderId="24" xfId="3" applyNumberFormat="1" applyFont="1" applyBorder="1" applyAlignment="1">
      <alignment horizontal="center" vertical="center"/>
    </xf>
    <xf numFmtId="176" fontId="8" fillId="2" borderId="3" xfId="3" applyNumberFormat="1" applyFont="1" applyBorder="1" applyAlignment="1">
      <alignment horizontal="center" vertical="center"/>
    </xf>
    <xf numFmtId="176" fontId="8" fillId="2" borderId="24" xfId="3" applyNumberFormat="1" applyFont="1" applyBorder="1" applyAlignment="1">
      <alignment horizontal="center" vertical="center"/>
    </xf>
    <xf numFmtId="176" fontId="8" fillId="2" borderId="4" xfId="3" applyNumberFormat="1" applyFont="1" applyBorder="1" applyAlignment="1">
      <alignment horizontal="center" vertical="center"/>
    </xf>
    <xf numFmtId="41" fontId="8" fillId="2" borderId="25" xfId="3" applyNumberFormat="1" applyFont="1" applyBorder="1" applyAlignment="1">
      <alignment horizontal="center" vertical="center"/>
    </xf>
    <xf numFmtId="41" fontId="8" fillId="2" borderId="26" xfId="3" applyNumberFormat="1" applyFont="1" applyBorder="1" applyAlignment="1">
      <alignment horizontal="center" vertical="center"/>
    </xf>
    <xf numFmtId="41" fontId="8" fillId="2" borderId="27" xfId="3" applyNumberFormat="1" applyFont="1" applyBorder="1" applyAlignment="1">
      <alignment horizontal="center" vertical="center"/>
    </xf>
    <xf numFmtId="41" fontId="8" fillId="2" borderId="28" xfId="3" applyNumberFormat="1" applyFont="1" applyBorder="1" applyAlignment="1">
      <alignment horizontal="center" vertical="center"/>
    </xf>
    <xf numFmtId="41" fontId="8" fillId="2" borderId="29" xfId="3" applyNumberFormat="1" applyFont="1" applyBorder="1" applyAlignment="1">
      <alignment horizontal="center" vertical="center"/>
    </xf>
    <xf numFmtId="41" fontId="8" fillId="2" borderId="30" xfId="3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0" xfId="3" applyFont="1" applyBorder="1" applyAlignment="1">
      <alignment horizontal="center" vertical="center" wrapText="1"/>
    </xf>
    <xf numFmtId="0" fontId="8" fillId="2" borderId="23" xfId="3" applyFont="1" applyBorder="1" applyAlignment="1">
      <alignment horizontal="center" vertical="center"/>
    </xf>
    <xf numFmtId="0" fontId="8" fillId="2" borderId="0" xfId="3" applyFont="1" applyBorder="1" applyAlignment="1">
      <alignment horizontal="center" vertical="center"/>
    </xf>
    <xf numFmtId="180" fontId="12" fillId="0" borderId="0" xfId="0" applyNumberFormat="1" applyFont="1" applyAlignment="1" applyProtection="1">
      <alignment horizontal="left" vertical="center"/>
      <protection locked="0"/>
    </xf>
    <xf numFmtId="180" fontId="13" fillId="0" borderId="0" xfId="0" applyNumberFormat="1" applyFont="1" applyAlignment="1" applyProtection="1">
      <alignment horizontal="left" vertical="center"/>
      <protection locked="0"/>
    </xf>
    <xf numFmtId="0" fontId="18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9" fontId="15" fillId="0" borderId="7" xfId="8" applyFont="1" applyFill="1" applyBorder="1" applyAlignment="1" applyProtection="1">
      <alignment horizontal="left" vertical="center"/>
      <protection locked="0"/>
    </xf>
    <xf numFmtId="179" fontId="16" fillId="0" borderId="7" xfId="8" applyFont="1" applyFill="1" applyBorder="1" applyAlignment="1" applyProtection="1">
      <alignment horizontal="left" vertical="center"/>
      <protection locked="0"/>
    </xf>
    <xf numFmtId="181" fontId="20" fillId="0" borderId="7" xfId="0" applyNumberFormat="1" applyFont="1" applyBorder="1" applyAlignment="1" applyProtection="1">
      <alignment horizontal="left" vertical="center"/>
      <protection locked="0"/>
    </xf>
    <xf numFmtId="181" fontId="17" fillId="0" borderId="7" xfId="0" applyNumberFormat="1" applyFont="1" applyBorder="1" applyAlignment="1" applyProtection="1">
      <alignment horizontal="left" vertical="center"/>
      <protection locked="0"/>
    </xf>
    <xf numFmtId="182" fontId="20" fillId="0" borderId="7" xfId="0" applyNumberFormat="1" applyFont="1" applyBorder="1" applyAlignment="1" applyProtection="1">
      <alignment horizontal="left" vertical="center"/>
      <protection locked="0"/>
    </xf>
    <xf numFmtId="182" fontId="17" fillId="0" borderId="7" xfId="0" applyNumberFormat="1" applyFont="1" applyBorder="1" applyAlignment="1" applyProtection="1">
      <alignment horizontal="left" vertical="center"/>
      <protection locked="0"/>
    </xf>
    <xf numFmtId="0" fontId="25" fillId="8" borderId="9" xfId="0" applyFont="1" applyFill="1" applyBorder="1" applyAlignment="1" applyProtection="1">
      <alignment horizontal="center" vertical="center"/>
      <protection locked="0"/>
    </xf>
    <xf numFmtId="0" fontId="25" fillId="8" borderId="10" xfId="0" applyFont="1" applyFill="1" applyBorder="1" applyAlignment="1" applyProtection="1">
      <alignment horizontal="center" vertical="center"/>
      <protection locked="0"/>
    </xf>
    <xf numFmtId="0" fontId="25" fillId="8" borderId="10" xfId="0" applyFont="1" applyFill="1" applyBorder="1" applyAlignment="1" applyProtection="1">
      <alignment horizontal="center" vertical="center" wrapText="1"/>
      <protection locked="0"/>
    </xf>
    <xf numFmtId="0" fontId="25" fillId="8" borderId="11" xfId="0" applyFont="1" applyFill="1" applyBorder="1" applyAlignment="1" applyProtection="1">
      <alignment horizontal="center" vertical="center"/>
      <protection locked="0"/>
    </xf>
    <xf numFmtId="179" fontId="15" fillId="0" borderId="0" xfId="8" applyFont="1" applyFill="1" applyBorder="1" applyAlignment="1" applyProtection="1">
      <alignment horizontal="left" vertical="center"/>
      <protection locked="0"/>
    </xf>
    <xf numFmtId="179" fontId="16" fillId="0" borderId="0" xfId="8" applyFont="1" applyFill="1" applyBorder="1" applyAlignment="1" applyProtection="1">
      <alignment horizontal="left" vertical="center"/>
      <protection locked="0"/>
    </xf>
    <xf numFmtId="0" fontId="21" fillId="0" borderId="0" xfId="0" applyFont="1" applyAlignment="1" applyProtection="1">
      <alignment horizontal="left" vertical="center" shrinkToFit="1"/>
      <protection locked="0"/>
    </xf>
    <xf numFmtId="49" fontId="22" fillId="0" borderId="0" xfId="0" applyNumberFormat="1" applyFont="1" applyAlignment="1" applyProtection="1">
      <alignment horizontal="left" vertical="center" shrinkToFit="1"/>
      <protection locked="0"/>
    </xf>
    <xf numFmtId="179" fontId="15" fillId="0" borderId="8" xfId="8" applyFont="1" applyFill="1" applyBorder="1" applyAlignment="1" applyProtection="1">
      <alignment horizontal="left" vertical="center"/>
      <protection locked="0"/>
    </xf>
    <xf numFmtId="179" fontId="16" fillId="0" borderId="8" xfId="8" applyFont="1" applyFill="1" applyBorder="1" applyAlignment="1" applyProtection="1">
      <alignment horizontal="left" vertical="center"/>
      <protection locked="0"/>
    </xf>
    <xf numFmtId="0" fontId="21" fillId="0" borderId="8" xfId="0" applyFont="1" applyBorder="1" applyAlignment="1" applyProtection="1">
      <alignment horizontal="left" vertical="center" shrinkToFit="1"/>
      <protection locked="0"/>
    </xf>
    <xf numFmtId="0" fontId="26" fillId="0" borderId="15" xfId="0" applyFont="1" applyBorder="1" applyAlignment="1" applyProtection="1">
      <alignment horizontal="center" vertical="center" shrinkToFit="1"/>
      <protection locked="0"/>
    </xf>
    <xf numFmtId="0" fontId="29" fillId="0" borderId="15" xfId="0" applyFont="1" applyBorder="1" applyAlignment="1" applyProtection="1">
      <alignment horizontal="center" vertical="center" shrinkToFit="1"/>
      <protection locked="0"/>
    </xf>
    <xf numFmtId="184" fontId="26" fillId="0" borderId="15" xfId="0" applyNumberFormat="1" applyFont="1" applyBorder="1" applyAlignment="1" applyProtection="1">
      <alignment horizontal="center" vertical="center" shrinkToFit="1"/>
      <protection locked="0"/>
    </xf>
    <xf numFmtId="184" fontId="29" fillId="0" borderId="15" xfId="0" applyNumberFormat="1" applyFont="1" applyBorder="1" applyAlignment="1" applyProtection="1">
      <alignment horizontal="center" vertical="center" shrinkToFit="1"/>
      <protection locked="0"/>
    </xf>
    <xf numFmtId="0" fontId="26" fillId="0" borderId="12" xfId="0" applyFont="1" applyBorder="1" applyAlignment="1" applyProtection="1">
      <alignment horizontal="center" vertical="center" shrinkToFit="1"/>
      <protection locked="0"/>
    </xf>
    <xf numFmtId="0" fontId="26" fillId="0" borderId="13" xfId="0" applyFont="1" applyBorder="1" applyAlignment="1" applyProtection="1">
      <alignment horizontal="center" vertical="center" shrinkToFit="1"/>
      <protection locked="0"/>
    </xf>
    <xf numFmtId="183" fontId="26" fillId="0" borderId="13" xfId="0" applyNumberFormat="1" applyFont="1" applyBorder="1" applyAlignment="1" applyProtection="1">
      <alignment vertical="center" shrinkToFit="1"/>
      <protection locked="0"/>
    </xf>
    <xf numFmtId="183" fontId="26" fillId="0" borderId="14" xfId="0" applyNumberFormat="1" applyFont="1" applyBorder="1" applyAlignment="1" applyProtection="1">
      <alignment vertical="center" shrinkToFit="1"/>
      <protection locked="0"/>
    </xf>
    <xf numFmtId="0" fontId="27" fillId="8" borderId="15" xfId="0" applyFont="1" applyFill="1" applyBorder="1" applyAlignment="1" applyProtection="1">
      <alignment horizontal="center" vertical="center" shrinkToFit="1"/>
      <protection locked="0"/>
    </xf>
    <xf numFmtId="0" fontId="28" fillId="8" borderId="15" xfId="0" applyFont="1" applyFill="1" applyBorder="1" applyAlignment="1" applyProtection="1">
      <alignment horizontal="center" vertical="center" shrinkToFit="1"/>
      <protection locked="0"/>
    </xf>
    <xf numFmtId="0" fontId="31" fillId="8" borderId="15" xfId="0" applyFont="1" applyFill="1" applyBorder="1" applyAlignment="1" applyProtection="1">
      <alignment horizontal="center" vertical="center" shrinkToFit="1"/>
      <protection locked="0"/>
    </xf>
    <xf numFmtId="0" fontId="32" fillId="8" borderId="15" xfId="0" applyFont="1" applyFill="1" applyBorder="1" applyAlignment="1" applyProtection="1">
      <alignment horizontal="center" vertical="center" shrinkToFit="1"/>
      <protection locked="0"/>
    </xf>
    <xf numFmtId="0" fontId="33" fillId="8" borderId="15" xfId="0" applyFont="1" applyFill="1" applyBorder="1" applyAlignment="1" applyProtection="1">
      <alignment horizontal="center" vertical="center" shrinkToFit="1"/>
      <protection locked="0"/>
    </xf>
    <xf numFmtId="0" fontId="30" fillId="0" borderId="15" xfId="0" applyFont="1" applyBorder="1" applyAlignment="1" applyProtection="1">
      <alignment horizontal="center" vertical="center" shrinkToFit="1"/>
      <protection locked="0"/>
    </xf>
    <xf numFmtId="0" fontId="34" fillId="8" borderId="15" xfId="0" applyFont="1" applyFill="1" applyBorder="1" applyAlignment="1" applyProtection="1">
      <alignment horizontal="center" vertical="center" shrinkToFit="1"/>
      <protection locked="0"/>
    </xf>
    <xf numFmtId="42" fontId="40" fillId="0" borderId="18" xfId="8" applyNumberFormat="1" applyFont="1" applyFill="1" applyBorder="1" applyAlignment="1" applyProtection="1">
      <alignment vertical="center"/>
      <protection locked="0"/>
    </xf>
    <xf numFmtId="184" fontId="22" fillId="0" borderId="18" xfId="8" applyNumberFormat="1" applyFont="1" applyFill="1" applyBorder="1" applyAlignment="1" applyProtection="1">
      <alignment horizontal="right" vertical="center"/>
      <protection locked="0"/>
    </xf>
    <xf numFmtId="0" fontId="14" fillId="0" borderId="0" xfId="0" applyFont="1" applyProtection="1">
      <alignment vertical="center"/>
      <protection locked="0"/>
    </xf>
    <xf numFmtId="0" fontId="38" fillId="0" borderId="8" xfId="0" applyFont="1" applyBorder="1" applyProtection="1">
      <alignment vertical="center"/>
      <protection locked="0"/>
    </xf>
    <xf numFmtId="0" fontId="39" fillId="0" borderId="8" xfId="0" applyFont="1" applyBorder="1" applyAlignment="1" applyProtection="1">
      <alignment horizontal="left" vertical="center"/>
      <protection locked="0"/>
    </xf>
    <xf numFmtId="42" fontId="40" fillId="0" borderId="17" xfId="8" applyNumberFormat="1" applyFont="1" applyFill="1" applyBorder="1" applyAlignment="1" applyProtection="1">
      <alignment vertical="center"/>
      <protection locked="0"/>
    </xf>
    <xf numFmtId="179" fontId="22" fillId="0" borderId="17" xfId="8" applyFont="1" applyFill="1" applyBorder="1" applyAlignment="1" applyProtection="1">
      <alignment horizontal="center" vertical="center"/>
      <protection locked="0"/>
    </xf>
    <xf numFmtId="42" fontId="15" fillId="9" borderId="19" xfId="8" applyNumberFormat="1" applyFont="1" applyFill="1" applyBorder="1" applyAlignment="1" applyProtection="1">
      <alignment vertical="center"/>
      <protection locked="0"/>
    </xf>
    <xf numFmtId="179" fontId="20" fillId="9" borderId="19" xfId="8" applyFont="1" applyFill="1" applyBorder="1" applyAlignment="1" applyProtection="1">
      <alignment horizontal="center" vertical="center"/>
      <protection locked="0"/>
    </xf>
    <xf numFmtId="42" fontId="40" fillId="0" borderId="21" xfId="8" applyNumberFormat="1" applyFont="1" applyFill="1" applyBorder="1" applyAlignment="1" applyProtection="1">
      <alignment horizontal="left" vertical="center"/>
      <protection locked="0"/>
    </xf>
    <xf numFmtId="0" fontId="47" fillId="0" borderId="21" xfId="8" applyNumberFormat="1" applyFont="1" applyFill="1" applyBorder="1" applyAlignment="1" applyProtection="1">
      <alignment horizontal="left" vertical="center"/>
      <protection locked="0"/>
    </xf>
    <xf numFmtId="0" fontId="0" fillId="0" borderId="21" xfId="0" applyBorder="1" applyAlignment="1">
      <alignment horizontal="left" vertical="center"/>
    </xf>
    <xf numFmtId="42" fontId="40" fillId="0" borderId="22" xfId="8" applyNumberFormat="1" applyFont="1" applyFill="1" applyBorder="1" applyAlignment="1" applyProtection="1">
      <alignment horizontal="left" vertical="center"/>
      <protection locked="0"/>
    </xf>
    <xf numFmtId="0" fontId="47" fillId="0" borderId="22" xfId="8" applyNumberFormat="1" applyFont="1" applyFill="1" applyBorder="1" applyAlignment="1" applyProtection="1">
      <alignment horizontal="left" vertical="center"/>
      <protection locked="0"/>
    </xf>
    <xf numFmtId="0" fontId="0" fillId="0" borderId="22" xfId="0" applyBorder="1" applyAlignment="1">
      <alignment horizontal="left" vertical="center"/>
    </xf>
    <xf numFmtId="0" fontId="18" fillId="0" borderId="20" xfId="0" applyFont="1" applyBorder="1" applyProtection="1">
      <alignment vertical="center"/>
      <protection locked="0"/>
    </xf>
    <xf numFmtId="0" fontId="43" fillId="0" borderId="20" xfId="0" applyFont="1" applyBorder="1" applyProtection="1">
      <alignment vertical="center"/>
      <protection locked="0"/>
    </xf>
    <xf numFmtId="183" fontId="44" fillId="0" borderId="20" xfId="0" applyNumberFormat="1" applyFont="1" applyBorder="1" applyAlignment="1" applyProtection="1">
      <alignment vertical="center" shrinkToFit="1"/>
      <protection locked="0"/>
    </xf>
    <xf numFmtId="183" fontId="45" fillId="0" borderId="20" xfId="0" applyNumberFormat="1" applyFont="1" applyBorder="1" applyAlignment="1" applyProtection="1">
      <alignment vertical="center" shrinkToFit="1"/>
      <protection locked="0"/>
    </xf>
    <xf numFmtId="0" fontId="46" fillId="0" borderId="0" xfId="0" applyFont="1" applyAlignment="1" applyProtection="1">
      <alignment horizontal="left" vertical="center"/>
      <protection locked="0"/>
    </xf>
    <xf numFmtId="42" fontId="38" fillId="0" borderId="8" xfId="0" applyNumberFormat="1" applyFont="1" applyBorder="1" applyAlignment="1" applyProtection="1">
      <alignment horizontal="left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85" fontId="50" fillId="0" borderId="0" xfId="0" applyNumberFormat="1" applyFont="1" applyAlignment="1" applyProtection="1">
      <alignment horizontal="center" vertical="center" shrinkToFit="1"/>
      <protection locked="0"/>
    </xf>
    <xf numFmtId="0" fontId="52" fillId="0" borderId="0" xfId="0" applyFont="1" applyAlignment="1">
      <alignment horizontal="right" vertical="center" indent="5"/>
    </xf>
    <xf numFmtId="0" fontId="53" fillId="0" borderId="0" xfId="0" applyFont="1" applyAlignment="1">
      <alignment horizontal="right" vertical="center" indent="5"/>
    </xf>
    <xf numFmtId="184" fontId="22" fillId="0" borderId="22" xfId="8" applyNumberFormat="1" applyFont="1" applyFill="1" applyBorder="1" applyAlignment="1" applyProtection="1">
      <alignment horizontal="left" vertical="center"/>
      <protection locked="0"/>
    </xf>
    <xf numFmtId="185" fontId="51" fillId="0" borderId="0" xfId="0" applyNumberFormat="1" applyFont="1" applyAlignment="1" applyProtection="1">
      <alignment horizontal="center" vertical="center" shrinkToFit="1"/>
      <protection locked="0"/>
    </xf>
    <xf numFmtId="0" fontId="23" fillId="0" borderId="0" xfId="0" applyFont="1" applyProtection="1">
      <alignment vertical="center"/>
      <protection locked="0"/>
    </xf>
    <xf numFmtId="0" fontId="24" fillId="0" borderId="0" xfId="0" applyFont="1" applyProtection="1">
      <alignment vertical="center"/>
      <protection locked="0"/>
    </xf>
  </cellXfs>
  <cellStyles count="12">
    <cellStyle name="20% - 강조색1" xfId="9" builtinId="30"/>
    <cellStyle name="20% - 강조색2" xfId="5" builtinId="34"/>
    <cellStyle name="20% - 강조색4" xfId="6" builtinId="42"/>
    <cellStyle name="20% - 강조색6" xfId="7" builtinId="50"/>
    <cellStyle name="60% - 강조색4" xfId="11" builtinId="44"/>
    <cellStyle name="강조색1" xfId="10" builtinId="29"/>
    <cellStyle name="강조색2" xfId="4" builtinId="33"/>
    <cellStyle name="계산" xfId="3" builtinId="22"/>
    <cellStyle name="쉼표 [0]" xfId="1" builtinId="6"/>
    <cellStyle name="쉼표 [0] 2" xfId="8" xr:uid="{00000000-0005-0000-0000-000009000000}"/>
    <cellStyle name="출력" xfId="2" builtinId="21"/>
    <cellStyle name="표준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s://stamp.yesform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238125</xdr:colOff>
      <xdr:row>2</xdr:row>
      <xdr:rowOff>38100</xdr:rowOff>
    </xdr:from>
    <xdr:to>
      <xdr:col>28</xdr:col>
      <xdr:colOff>342900</xdr:colOff>
      <xdr:row>3</xdr:row>
      <xdr:rowOff>171450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1D76156B-BE75-4197-B5DF-D6E002E60646}"/>
            </a:ext>
          </a:extLst>
        </xdr:cNvPr>
        <xdr:cNvGrpSpPr/>
      </xdr:nvGrpSpPr>
      <xdr:grpSpPr>
        <a:xfrm>
          <a:off x="7936566" y="609600"/>
          <a:ext cx="788334" cy="256615"/>
          <a:chOff x="7439024" y="3790950"/>
          <a:chExt cx="790575" cy="263367"/>
        </a:xfrm>
      </xdr:grpSpPr>
      <xdr:sp macro="[1]!Sh_Pre" textlink="">
        <xdr:nvSpPr>
          <xdr:cNvPr id="7" name="사각형: 둥근 모서리 11">
            <a:extLst>
              <a:ext uri="{FF2B5EF4-FFF2-40B4-BE49-F238E27FC236}">
                <a16:creationId xmlns:a16="http://schemas.microsoft.com/office/drawing/2014/main" id="{39E2996D-07EA-4801-A3CF-F67AB71ECCC6}"/>
              </a:ext>
            </a:extLst>
          </xdr:cNvPr>
          <xdr:cNvSpPr/>
        </xdr:nvSpPr>
        <xdr:spPr>
          <a:xfrm>
            <a:off x="7439024" y="3790950"/>
            <a:ext cx="790575" cy="259200"/>
          </a:xfrm>
          <a:prstGeom prst="roundRect">
            <a:avLst>
              <a:gd name="adj" fmla="val 21765"/>
            </a:avLst>
          </a:prstGeom>
          <a:gradFill>
            <a:gsLst>
              <a:gs pos="0">
                <a:srgbClr val="F7F8FB"/>
              </a:gs>
              <a:gs pos="100000">
                <a:srgbClr val="E8E8E8"/>
              </a:gs>
            </a:gsLst>
            <a:lin ang="5400000" scaled="1"/>
          </a:gradFill>
          <a:ln w="6350">
            <a:solidFill>
              <a:schemeClr val="bg1">
                <a:lumMod val="75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just" defTabSz="914400" rtl="0" eaLnBrk="1" latinLnBrk="1" hangingPunct="1"/>
            <a:endParaRPr lang="en-US" sz="900" b="0" kern="1200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[1]!Sh_Pre" textlink="">
        <xdr:nvSpPr>
          <xdr:cNvPr id="8" name="TextBox 7">
            <a:extLst>
              <a:ext uri="{FF2B5EF4-FFF2-40B4-BE49-F238E27FC236}">
                <a16:creationId xmlns:a16="http://schemas.microsoft.com/office/drawing/2014/main" id="{6D2D2F1A-8E70-4DF9-9EC4-A21C6FD2B313}"/>
              </a:ext>
            </a:extLst>
          </xdr:cNvPr>
          <xdr:cNvSpPr txBox="1"/>
        </xdr:nvSpPr>
        <xdr:spPr>
          <a:xfrm>
            <a:off x="7511527" y="3795117"/>
            <a:ext cx="641874" cy="259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just"/>
            <a:r>
              <a:rPr lang="ko-KR" altLang="en-US" sz="900" b="1">
                <a:solidFill>
                  <a:srgbClr val="444344"/>
                </a:solidFill>
              </a:rPr>
              <a:t>미리보기</a:t>
            </a:r>
          </a:p>
        </xdr:txBody>
      </xdr:sp>
    </xdr:grpSp>
    <xdr:clientData fPrintsWithSheet="0"/>
  </xdr:twoCellAnchor>
  <xdr:twoCellAnchor editAs="absolute">
    <xdr:from>
      <xdr:col>27</xdr:col>
      <xdr:colOff>238125</xdr:colOff>
      <xdr:row>3</xdr:row>
      <xdr:rowOff>257175</xdr:rowOff>
    </xdr:from>
    <xdr:to>
      <xdr:col>28</xdr:col>
      <xdr:colOff>342900</xdr:colOff>
      <xdr:row>4</xdr:row>
      <xdr:rowOff>200025</xdr:rowOff>
    </xdr:to>
    <xdr:grpSp>
      <xdr:nvGrpSpPr>
        <xdr:cNvPr id="9" name="그룹 8">
          <a:extLst>
            <a:ext uri="{FF2B5EF4-FFF2-40B4-BE49-F238E27FC236}">
              <a16:creationId xmlns:a16="http://schemas.microsoft.com/office/drawing/2014/main" id="{2AC91DBE-4F6E-4219-A0FC-3B64F4CF3BC7}"/>
            </a:ext>
          </a:extLst>
        </xdr:cNvPr>
        <xdr:cNvGrpSpPr/>
      </xdr:nvGrpSpPr>
      <xdr:grpSpPr>
        <a:xfrm>
          <a:off x="7936566" y="951940"/>
          <a:ext cx="788334" cy="256614"/>
          <a:chOff x="8324849" y="3790950"/>
          <a:chExt cx="790575" cy="263367"/>
        </a:xfrm>
      </xdr:grpSpPr>
      <xdr:sp macro="[1]!Sh_Pri" textlink="">
        <xdr:nvSpPr>
          <xdr:cNvPr id="10" name="사각형: 둥근 모서리 11">
            <a:extLst>
              <a:ext uri="{FF2B5EF4-FFF2-40B4-BE49-F238E27FC236}">
                <a16:creationId xmlns:a16="http://schemas.microsoft.com/office/drawing/2014/main" id="{5C557C45-CC86-4A1D-B4EF-0FCB20B07D3F}"/>
              </a:ext>
            </a:extLst>
          </xdr:cNvPr>
          <xdr:cNvSpPr/>
        </xdr:nvSpPr>
        <xdr:spPr>
          <a:xfrm>
            <a:off x="8324849" y="3790950"/>
            <a:ext cx="790575" cy="259200"/>
          </a:xfrm>
          <a:prstGeom prst="roundRect">
            <a:avLst>
              <a:gd name="adj" fmla="val 21765"/>
            </a:avLst>
          </a:prstGeom>
          <a:gradFill>
            <a:gsLst>
              <a:gs pos="0">
                <a:srgbClr val="F7F8FB"/>
              </a:gs>
              <a:gs pos="100000">
                <a:srgbClr val="E8E8E8"/>
              </a:gs>
            </a:gsLst>
            <a:lin ang="5400000" scaled="1"/>
          </a:gradFill>
          <a:ln w="6350">
            <a:solidFill>
              <a:schemeClr val="bg1">
                <a:lumMod val="75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just" defTabSz="914400" rtl="0" eaLnBrk="1" latinLnBrk="1" hangingPunct="1"/>
            <a:endParaRPr lang="en-US" sz="900" b="0" kern="1200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[1]!Sh_Pri" textlink="">
        <xdr:nvSpPr>
          <xdr:cNvPr id="11" name="TextBox 10">
            <a:extLst>
              <a:ext uri="{FF2B5EF4-FFF2-40B4-BE49-F238E27FC236}">
                <a16:creationId xmlns:a16="http://schemas.microsoft.com/office/drawing/2014/main" id="{3AE1413C-CD65-4A7C-8FC4-345616184864}"/>
              </a:ext>
            </a:extLst>
          </xdr:cNvPr>
          <xdr:cNvSpPr txBox="1"/>
        </xdr:nvSpPr>
        <xdr:spPr>
          <a:xfrm>
            <a:off x="8397352" y="3795117"/>
            <a:ext cx="641874" cy="259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just"/>
            <a:r>
              <a:rPr lang="ko-KR" altLang="en-US" sz="900" b="1">
                <a:solidFill>
                  <a:srgbClr val="444344"/>
                </a:solidFill>
              </a:rPr>
              <a:t>인쇄하기</a:t>
            </a:r>
          </a:p>
        </xdr:txBody>
      </xdr:sp>
    </xdr:grpSp>
    <xdr:clientData fPrintsWithSheet="0"/>
  </xdr:twoCellAnchor>
  <xdr:twoCellAnchor editAs="oneCell">
    <xdr:from>
      <xdr:col>23</xdr:col>
      <xdr:colOff>66676</xdr:colOff>
      <xdr:row>91</xdr:row>
      <xdr:rowOff>133351</xdr:rowOff>
    </xdr:from>
    <xdr:to>
      <xdr:col>25</xdr:col>
      <xdr:colOff>171450</xdr:colOff>
      <xdr:row>94</xdr:row>
      <xdr:rowOff>47625</xdr:rowOff>
    </xdr:to>
    <xdr:pic>
      <xdr:nvPicPr>
        <xdr:cNvPr id="12" name="그림 11" descr="생성된 도장 이미지">
          <a:extLst>
            <a:ext uri="{FF2B5EF4-FFF2-40B4-BE49-F238E27FC236}">
              <a16:creationId xmlns:a16="http://schemas.microsoft.com/office/drawing/2014/main" id="{39583474-76D7-4C1A-92E9-C4DAACA761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1" y="9906001"/>
          <a:ext cx="657224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180975</xdr:colOff>
      <xdr:row>91</xdr:row>
      <xdr:rowOff>180975</xdr:rowOff>
    </xdr:from>
    <xdr:to>
      <xdr:col>25</xdr:col>
      <xdr:colOff>228599</xdr:colOff>
      <xdr:row>94</xdr:row>
      <xdr:rowOff>9525</xdr:rowOff>
    </xdr:to>
    <xdr:pic>
      <xdr:nvPicPr>
        <xdr:cNvPr id="2" name="그림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72A4D5-3ECE-44B3-AF62-481DC7F972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10350" y="12525375"/>
          <a:ext cx="600074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absolute">
    <xdr:from>
      <xdr:col>27</xdr:col>
      <xdr:colOff>238125</xdr:colOff>
      <xdr:row>1</xdr:row>
      <xdr:rowOff>76200</xdr:rowOff>
    </xdr:from>
    <xdr:to>
      <xdr:col>28</xdr:col>
      <xdr:colOff>342900</xdr:colOff>
      <xdr:row>1</xdr:row>
      <xdr:rowOff>339567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7B0824A2-1BC6-4FAC-BDDF-0B43FC474862}"/>
            </a:ext>
          </a:extLst>
        </xdr:cNvPr>
        <xdr:cNvGrpSpPr/>
      </xdr:nvGrpSpPr>
      <xdr:grpSpPr>
        <a:xfrm>
          <a:off x="7858125" y="266700"/>
          <a:ext cx="797502" cy="263367"/>
          <a:chOff x="7915275" y="1028700"/>
          <a:chExt cx="790575" cy="263367"/>
        </a:xfrm>
      </xdr:grpSpPr>
      <xdr:sp macro="[1]!Form3_show" textlink="">
        <xdr:nvSpPr>
          <xdr:cNvPr id="4" name="사각형: 둥근 모서리 11">
            <a:extLst>
              <a:ext uri="{FF2B5EF4-FFF2-40B4-BE49-F238E27FC236}">
                <a16:creationId xmlns:a16="http://schemas.microsoft.com/office/drawing/2014/main" id="{15255C07-8E55-4C10-A866-8BD78F631C06}"/>
              </a:ext>
            </a:extLst>
          </xdr:cNvPr>
          <xdr:cNvSpPr/>
        </xdr:nvSpPr>
        <xdr:spPr>
          <a:xfrm>
            <a:off x="7915275" y="1028700"/>
            <a:ext cx="790575" cy="259200"/>
          </a:xfrm>
          <a:prstGeom prst="roundRect">
            <a:avLst>
              <a:gd name="adj" fmla="val 21765"/>
            </a:avLst>
          </a:prstGeom>
          <a:gradFill>
            <a:gsLst>
              <a:gs pos="0">
                <a:srgbClr val="F7F8FB"/>
              </a:gs>
              <a:gs pos="100000">
                <a:srgbClr val="E8E8E8"/>
              </a:gs>
            </a:gsLst>
            <a:lin ang="5400000" scaled="1"/>
          </a:gradFill>
          <a:ln w="6350">
            <a:solidFill>
              <a:schemeClr val="bg1">
                <a:lumMod val="75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just" defTabSz="914400" rtl="0" eaLnBrk="1" latinLnBrk="1" hangingPunct="1"/>
            <a:endParaRPr lang="en-US" sz="900" b="0" kern="1200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[1]!Form3_show" textlink="">
        <xdr:nvSpPr>
          <xdr:cNvPr id="5" name="TextBox 4">
            <a:extLst>
              <a:ext uri="{FF2B5EF4-FFF2-40B4-BE49-F238E27FC236}">
                <a16:creationId xmlns:a16="http://schemas.microsoft.com/office/drawing/2014/main" id="{9249B481-766A-4149-9469-5190F2068919}"/>
              </a:ext>
            </a:extLst>
          </xdr:cNvPr>
          <xdr:cNvSpPr txBox="1"/>
        </xdr:nvSpPr>
        <xdr:spPr>
          <a:xfrm>
            <a:off x="7987780" y="1032867"/>
            <a:ext cx="641870" cy="259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just"/>
            <a:r>
              <a:rPr lang="ko-KR" altLang="en-US" sz="900" b="1">
                <a:solidFill>
                  <a:srgbClr val="444344"/>
                </a:solidFill>
              </a:rPr>
              <a:t>사원선택</a:t>
            </a:r>
          </a:p>
        </xdr:txBody>
      </xdr:sp>
    </xdr:grpSp>
    <xdr:clientData fPrintsWithSheet="0"/>
  </xdr:twoCellAnchor>
  <xdr:twoCellAnchor editAs="absolute">
    <xdr:from>
      <xdr:col>27</xdr:col>
      <xdr:colOff>238125</xdr:colOff>
      <xdr:row>2</xdr:row>
      <xdr:rowOff>38100</xdr:rowOff>
    </xdr:from>
    <xdr:to>
      <xdr:col>28</xdr:col>
      <xdr:colOff>342900</xdr:colOff>
      <xdr:row>3</xdr:row>
      <xdr:rowOff>171450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FCF2A18A-8732-4E47-A26C-471A54C90786}"/>
            </a:ext>
          </a:extLst>
        </xdr:cNvPr>
        <xdr:cNvGrpSpPr/>
      </xdr:nvGrpSpPr>
      <xdr:grpSpPr>
        <a:xfrm>
          <a:off x="7858125" y="609600"/>
          <a:ext cx="797502" cy="254577"/>
          <a:chOff x="7439024" y="3790950"/>
          <a:chExt cx="790575" cy="263367"/>
        </a:xfrm>
      </xdr:grpSpPr>
      <xdr:sp macro="[1]!Sh_Pre" textlink="">
        <xdr:nvSpPr>
          <xdr:cNvPr id="7" name="사각형: 둥근 모서리 11">
            <a:extLst>
              <a:ext uri="{FF2B5EF4-FFF2-40B4-BE49-F238E27FC236}">
                <a16:creationId xmlns:a16="http://schemas.microsoft.com/office/drawing/2014/main" id="{79F56408-AA8B-4E7B-A3A4-F1036ACB4FC9}"/>
              </a:ext>
            </a:extLst>
          </xdr:cNvPr>
          <xdr:cNvSpPr/>
        </xdr:nvSpPr>
        <xdr:spPr>
          <a:xfrm>
            <a:off x="7439024" y="3790950"/>
            <a:ext cx="790575" cy="259200"/>
          </a:xfrm>
          <a:prstGeom prst="roundRect">
            <a:avLst>
              <a:gd name="adj" fmla="val 21765"/>
            </a:avLst>
          </a:prstGeom>
          <a:gradFill>
            <a:gsLst>
              <a:gs pos="0">
                <a:srgbClr val="F7F8FB"/>
              </a:gs>
              <a:gs pos="100000">
                <a:srgbClr val="E8E8E8"/>
              </a:gs>
            </a:gsLst>
            <a:lin ang="5400000" scaled="1"/>
          </a:gradFill>
          <a:ln w="6350">
            <a:solidFill>
              <a:schemeClr val="bg1">
                <a:lumMod val="75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just" defTabSz="914400" rtl="0" eaLnBrk="1" latinLnBrk="1" hangingPunct="1"/>
            <a:endParaRPr lang="en-US" sz="900" b="0" kern="1200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[1]!Sh_Pre" textlink="">
        <xdr:nvSpPr>
          <xdr:cNvPr id="8" name="TextBox 7">
            <a:extLst>
              <a:ext uri="{FF2B5EF4-FFF2-40B4-BE49-F238E27FC236}">
                <a16:creationId xmlns:a16="http://schemas.microsoft.com/office/drawing/2014/main" id="{1380550C-2A9D-40B5-A7AF-1BFD5FAF0479}"/>
              </a:ext>
            </a:extLst>
          </xdr:cNvPr>
          <xdr:cNvSpPr txBox="1"/>
        </xdr:nvSpPr>
        <xdr:spPr>
          <a:xfrm>
            <a:off x="7511527" y="3795117"/>
            <a:ext cx="641874" cy="259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just"/>
            <a:r>
              <a:rPr lang="ko-KR" altLang="en-US" sz="900" b="1">
                <a:solidFill>
                  <a:srgbClr val="444344"/>
                </a:solidFill>
              </a:rPr>
              <a:t>미리보기</a:t>
            </a:r>
          </a:p>
        </xdr:txBody>
      </xdr:sp>
    </xdr:grpSp>
    <xdr:clientData fPrintsWithSheet="0"/>
  </xdr:twoCellAnchor>
  <xdr:twoCellAnchor editAs="absolute">
    <xdr:from>
      <xdr:col>27</xdr:col>
      <xdr:colOff>238125</xdr:colOff>
      <xdr:row>3</xdr:row>
      <xdr:rowOff>257175</xdr:rowOff>
    </xdr:from>
    <xdr:to>
      <xdr:col>28</xdr:col>
      <xdr:colOff>342900</xdr:colOff>
      <xdr:row>4</xdr:row>
      <xdr:rowOff>200025</xdr:rowOff>
    </xdr:to>
    <xdr:grpSp>
      <xdr:nvGrpSpPr>
        <xdr:cNvPr id="9" name="그룹 8">
          <a:extLst>
            <a:ext uri="{FF2B5EF4-FFF2-40B4-BE49-F238E27FC236}">
              <a16:creationId xmlns:a16="http://schemas.microsoft.com/office/drawing/2014/main" id="{6D586BE9-187D-48F7-8B48-6E7034D0AF12}"/>
            </a:ext>
          </a:extLst>
        </xdr:cNvPr>
        <xdr:cNvGrpSpPr/>
      </xdr:nvGrpSpPr>
      <xdr:grpSpPr>
        <a:xfrm>
          <a:off x="7858125" y="949902"/>
          <a:ext cx="797502" cy="254578"/>
          <a:chOff x="8324849" y="3790950"/>
          <a:chExt cx="790575" cy="263367"/>
        </a:xfrm>
      </xdr:grpSpPr>
      <xdr:sp macro="[1]!Sh_Pri" textlink="">
        <xdr:nvSpPr>
          <xdr:cNvPr id="10" name="사각형: 둥근 모서리 11">
            <a:extLst>
              <a:ext uri="{FF2B5EF4-FFF2-40B4-BE49-F238E27FC236}">
                <a16:creationId xmlns:a16="http://schemas.microsoft.com/office/drawing/2014/main" id="{175C30E3-0C10-4F8B-BE62-EFE17F88BFD7}"/>
              </a:ext>
            </a:extLst>
          </xdr:cNvPr>
          <xdr:cNvSpPr/>
        </xdr:nvSpPr>
        <xdr:spPr>
          <a:xfrm>
            <a:off x="8324849" y="3790950"/>
            <a:ext cx="790575" cy="259200"/>
          </a:xfrm>
          <a:prstGeom prst="roundRect">
            <a:avLst>
              <a:gd name="adj" fmla="val 21765"/>
            </a:avLst>
          </a:prstGeom>
          <a:gradFill>
            <a:gsLst>
              <a:gs pos="0">
                <a:srgbClr val="F7F8FB"/>
              </a:gs>
              <a:gs pos="100000">
                <a:srgbClr val="E8E8E8"/>
              </a:gs>
            </a:gsLst>
            <a:lin ang="5400000" scaled="1"/>
          </a:gradFill>
          <a:ln w="6350">
            <a:solidFill>
              <a:schemeClr val="bg1">
                <a:lumMod val="75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just" defTabSz="914400" rtl="0" eaLnBrk="1" latinLnBrk="1" hangingPunct="1"/>
            <a:endParaRPr lang="en-US" sz="900" b="0" kern="1200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[1]!Sh_Pri" textlink="">
        <xdr:nvSpPr>
          <xdr:cNvPr id="11" name="TextBox 10">
            <a:extLst>
              <a:ext uri="{FF2B5EF4-FFF2-40B4-BE49-F238E27FC236}">
                <a16:creationId xmlns:a16="http://schemas.microsoft.com/office/drawing/2014/main" id="{A3BB733C-4DA2-46E5-9909-5FECA8FE3C58}"/>
              </a:ext>
            </a:extLst>
          </xdr:cNvPr>
          <xdr:cNvSpPr txBox="1"/>
        </xdr:nvSpPr>
        <xdr:spPr>
          <a:xfrm>
            <a:off x="8397352" y="3795117"/>
            <a:ext cx="641874" cy="259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just"/>
            <a:r>
              <a:rPr lang="ko-KR" altLang="en-US" sz="900" b="1">
                <a:solidFill>
                  <a:srgbClr val="444344"/>
                </a:solidFill>
              </a:rPr>
              <a:t>인쇄하기</a:t>
            </a:r>
          </a:p>
        </xdr:txBody>
      </xdr:sp>
    </xdr:grp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&#50628;&#54812;&#49440;%20&#44553;&#50668;&#44288;&#4753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급공제 설정"/>
      <sheetName val="환경설정"/>
      <sheetName val="Sheet20"/>
      <sheetName val="Sheet1"/>
      <sheetName val="시급Data"/>
      <sheetName val="사원검색"/>
      <sheetName val="사원정보"/>
      <sheetName val="시간외근무"/>
      <sheetName val="근로정보"/>
      <sheetName val="Data_1"/>
      <sheetName val="근로현황"/>
      <sheetName val="급여대장"/>
      <sheetName val="Data_2"/>
      <sheetName val="option"/>
      <sheetName val="Option3"/>
      <sheetName val="급여명세서1"/>
      <sheetName val="급여명세서"/>
      <sheetName val="급여지급현황"/>
      <sheetName val="Dashboard"/>
      <sheetName val="조직도"/>
      <sheetName val="근로소득간이세액표"/>
      <sheetName val="엄혜선 급여관리"/>
    </sheetNames>
    <definedNames>
      <definedName name="Form3_show"/>
      <definedName name="Sh_Pre"/>
      <definedName name="Sh_Pri"/>
    </defined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W126"/>
  <sheetViews>
    <sheetView topLeftCell="A88" zoomScale="85" zoomScaleNormal="85" workbookViewId="0">
      <selection activeCell="D126" sqref="D126:F126"/>
    </sheetView>
  </sheetViews>
  <sheetFormatPr defaultRowHeight="16.5"/>
  <cols>
    <col min="1" max="1" width="16.125" bestFit="1" customWidth="1"/>
    <col min="2" max="2" width="11.875" customWidth="1"/>
    <col min="3" max="3" width="5.625" customWidth="1"/>
    <col min="4" max="4" width="8.875" customWidth="1"/>
    <col min="5" max="5" width="10.125" customWidth="1"/>
    <col min="6" max="6" width="10.5" customWidth="1"/>
    <col min="7" max="8" width="4.75" style="1" customWidth="1"/>
    <col min="9" max="9" width="9.375" bestFit="1" customWidth="1"/>
    <col min="10" max="10" width="5.625" style="6" customWidth="1"/>
    <col min="11" max="11" width="4.75" customWidth="1"/>
    <col min="12" max="12" width="9.375" bestFit="1" customWidth="1"/>
    <col min="13" max="14" width="4.625" customWidth="1"/>
    <col min="15" max="15" width="8.25" bestFit="1" customWidth="1"/>
    <col min="16" max="16" width="10.5" bestFit="1" customWidth="1"/>
    <col min="17" max="17" width="8.875" customWidth="1"/>
    <col min="18" max="18" width="12.75" customWidth="1"/>
    <col min="19" max="19" width="10.5" bestFit="1" customWidth="1"/>
    <col min="21" max="21" width="10.875" bestFit="1" customWidth="1"/>
  </cols>
  <sheetData>
    <row r="3" spans="1:23">
      <c r="A3" s="2" t="s">
        <v>16</v>
      </c>
      <c r="B3" s="20">
        <f>(A6+F5)/C6</f>
        <v>11095.54215282346</v>
      </c>
      <c r="C3" s="79" t="s">
        <v>3</v>
      </c>
      <c r="D3" s="79"/>
      <c r="E3" s="79"/>
      <c r="F3" s="79"/>
      <c r="G3" s="79" t="s">
        <v>14</v>
      </c>
      <c r="H3" s="79"/>
      <c r="I3" s="79"/>
      <c r="J3" s="79"/>
      <c r="K3" s="79"/>
      <c r="L3" s="79"/>
      <c r="M3" s="79"/>
      <c r="N3" s="79"/>
      <c r="O3" s="79"/>
      <c r="P3" s="79"/>
      <c r="Q3" s="79"/>
      <c r="R3" s="79" t="s">
        <v>15</v>
      </c>
      <c r="S3" s="79"/>
      <c r="T3" s="79"/>
      <c r="U3" s="79" t="s">
        <v>18</v>
      </c>
      <c r="V3" s="79"/>
      <c r="W3" s="79"/>
    </row>
    <row r="4" spans="1:23">
      <c r="A4" s="7" t="s">
        <v>22</v>
      </c>
      <c r="B4" s="2" t="s">
        <v>84</v>
      </c>
      <c r="C4" s="79" t="s">
        <v>4</v>
      </c>
      <c r="D4" s="79"/>
      <c r="E4" s="10" t="s">
        <v>5</v>
      </c>
      <c r="F4" s="10" t="s">
        <v>6</v>
      </c>
      <c r="G4" s="79" t="s">
        <v>7</v>
      </c>
      <c r="H4" s="79"/>
      <c r="I4" s="79"/>
      <c r="J4" s="79" t="s">
        <v>8</v>
      </c>
      <c r="K4" s="79"/>
      <c r="L4" s="79"/>
      <c r="M4" s="79" t="s">
        <v>10</v>
      </c>
      <c r="N4" s="79"/>
      <c r="O4" s="79"/>
      <c r="P4" s="79" t="s">
        <v>11</v>
      </c>
      <c r="Q4" s="79"/>
      <c r="R4" s="10" t="s">
        <v>9</v>
      </c>
      <c r="S4" s="10" t="s">
        <v>12</v>
      </c>
      <c r="T4" s="10" t="s">
        <v>13</v>
      </c>
      <c r="U4" s="80">
        <f ca="1">ROUNDDOWN(SUM(D6, G6, J6, M6, P6, R6, S5, T5), -1)</f>
        <v>3250000</v>
      </c>
      <c r="V4" s="80"/>
      <c r="W4" s="80"/>
    </row>
    <row r="5" spans="1:23">
      <c r="A5" s="7" t="s">
        <v>23</v>
      </c>
      <c r="B5" s="19">
        <v>44418</v>
      </c>
      <c r="C5" s="10">
        <v>209</v>
      </c>
      <c r="D5" s="11">
        <v>10320</v>
      </c>
      <c r="E5" s="12"/>
      <c r="F5" s="12">
        <v>200000</v>
      </c>
      <c r="G5" s="13">
        <v>7.5</v>
      </c>
      <c r="H5" s="13">
        <f>G5*365/84</f>
        <v>32.589285714285715</v>
      </c>
      <c r="I5" s="11">
        <f>B3 * 1.5</f>
        <v>16643.313229235191</v>
      </c>
      <c r="J5" s="14"/>
      <c r="K5" s="10">
        <f>J5*365/84</f>
        <v>0</v>
      </c>
      <c r="L5" s="11">
        <f>B3 * 1.5</f>
        <v>16643.313229235191</v>
      </c>
      <c r="M5" s="10"/>
      <c r="N5" s="10">
        <v>0</v>
      </c>
      <c r="O5" s="15">
        <f>B3*0.5</f>
        <v>5547.7710764117301</v>
      </c>
      <c r="P5" s="54">
        <f>B3*8</f>
        <v>88764.337222587681</v>
      </c>
      <c r="Q5" s="76">
        <f ca="1">IF(DATEDIF(B5, TODAY(), "m") &lt; 1, 0,
  IF(DATEDIF(B5, TODAY(), "y") &lt; 1, 8,
    MIN(25, 15 + INT((DATEDIF(B5, TODAY(), "y") - 1) / 2)) * 8 / 12
  )
)</f>
        <v>10.666666666666666</v>
      </c>
      <c r="R5" s="16"/>
      <c r="S5" s="81">
        <v>232380</v>
      </c>
      <c r="T5" s="83"/>
      <c r="U5" s="80"/>
      <c r="V5" s="80"/>
      <c r="W5" s="80"/>
    </row>
    <row r="6" spans="1:23">
      <c r="A6" s="18">
        <v>2661362</v>
      </c>
      <c r="B6" s="2" t="s">
        <v>85</v>
      </c>
      <c r="C6" s="10">
        <f>SUM(C5, H5*1.5, K5*1.5)</f>
        <v>257.88392857142856</v>
      </c>
      <c r="D6" s="80">
        <f>(D5 * 209)  + F5</f>
        <v>2356880</v>
      </c>
      <c r="E6" s="79"/>
      <c r="F6" s="79"/>
      <c r="G6" s="80">
        <f>H5 * I5</f>
        <v>542393.69005989691</v>
      </c>
      <c r="H6" s="79"/>
      <c r="I6" s="79"/>
      <c r="J6" s="80">
        <f>K5 * L5</f>
        <v>0</v>
      </c>
      <c r="K6" s="79"/>
      <c r="L6" s="79"/>
      <c r="M6" s="85">
        <f>N5*O5</f>
        <v>0</v>
      </c>
      <c r="N6" s="79"/>
      <c r="O6" s="79"/>
      <c r="P6" s="86">
        <f ca="1">B3*Q5</f>
        <v>118352.4496301169</v>
      </c>
      <c r="Q6" s="86"/>
      <c r="R6" s="15">
        <f>B3*0.5*R5</f>
        <v>0</v>
      </c>
      <c r="S6" s="82"/>
      <c r="T6" s="84"/>
      <c r="U6" s="10" t="s">
        <v>19</v>
      </c>
      <c r="V6" s="87">
        <f>D6+G6+J6+M6</f>
        <v>2899273.690059897</v>
      </c>
      <c r="W6" s="88"/>
    </row>
    <row r="9" spans="1:23">
      <c r="A9" s="2" t="s">
        <v>16</v>
      </c>
      <c r="B9" s="20">
        <f>(A12+F11)/C12</f>
        <v>10700.802769663529</v>
      </c>
      <c r="C9" s="79" t="s">
        <v>3</v>
      </c>
      <c r="D9" s="79"/>
      <c r="E9" s="79"/>
      <c r="F9" s="79"/>
      <c r="G9" s="79" t="s">
        <v>14</v>
      </c>
      <c r="H9" s="79"/>
      <c r="I9" s="79"/>
      <c r="J9" s="79"/>
      <c r="K9" s="79"/>
      <c r="L9" s="79"/>
      <c r="M9" s="79"/>
      <c r="N9" s="79"/>
      <c r="O9" s="79"/>
      <c r="P9" s="79"/>
      <c r="Q9" s="79"/>
      <c r="R9" s="79" t="s">
        <v>15</v>
      </c>
      <c r="S9" s="79"/>
      <c r="T9" s="79"/>
      <c r="U9" s="79" t="s">
        <v>18</v>
      </c>
      <c r="V9" s="79"/>
      <c r="W9" s="79"/>
    </row>
    <row r="10" spans="1:23">
      <c r="A10" s="9" t="s">
        <v>20</v>
      </c>
      <c r="B10" s="2" t="s">
        <v>130</v>
      </c>
      <c r="C10" s="79" t="s">
        <v>4</v>
      </c>
      <c r="D10" s="79"/>
      <c r="E10" s="10" t="s">
        <v>5</v>
      </c>
      <c r="F10" s="10" t="s">
        <v>6</v>
      </c>
      <c r="G10" s="79" t="s">
        <v>7</v>
      </c>
      <c r="H10" s="79"/>
      <c r="I10" s="79"/>
      <c r="J10" s="79" t="s">
        <v>8</v>
      </c>
      <c r="K10" s="79"/>
      <c r="L10" s="79"/>
      <c r="M10" s="79" t="s">
        <v>10</v>
      </c>
      <c r="N10" s="79"/>
      <c r="O10" s="79"/>
      <c r="P10" s="79" t="s">
        <v>11</v>
      </c>
      <c r="Q10" s="79"/>
      <c r="R10" s="10" t="s">
        <v>9</v>
      </c>
      <c r="S10" s="10" t="s">
        <v>12</v>
      </c>
      <c r="T10" s="10" t="s">
        <v>13</v>
      </c>
      <c r="U10" s="80">
        <f ca="1">ROUNDDOWN(SUM(D12, G12, J12, M12, P12, R12, S11, T11), -1)</f>
        <v>3350000</v>
      </c>
      <c r="V10" s="80"/>
      <c r="W10" s="80"/>
    </row>
    <row r="11" spans="1:23">
      <c r="A11" s="9" t="s">
        <v>21</v>
      </c>
      <c r="B11" s="19">
        <v>45170</v>
      </c>
      <c r="C11" s="10">
        <v>209</v>
      </c>
      <c r="D11" s="11">
        <v>10320</v>
      </c>
      <c r="E11" s="21">
        <v>200000</v>
      </c>
      <c r="F11" s="21">
        <v>110000</v>
      </c>
      <c r="G11" s="13">
        <v>7.5</v>
      </c>
      <c r="H11" s="13">
        <f>G11*365/84</f>
        <v>32.589285714285715</v>
      </c>
      <c r="I11" s="11">
        <f>B9 * 1.5</f>
        <v>16051.204154495294</v>
      </c>
      <c r="J11" s="58">
        <v>4.75</v>
      </c>
      <c r="K11" s="10">
        <f>J11*365/84</f>
        <v>20.639880952380953</v>
      </c>
      <c r="L11" s="11">
        <f>B9 * 1.5</f>
        <v>16051.204154495294</v>
      </c>
      <c r="M11" s="10"/>
      <c r="N11" s="10">
        <v>0</v>
      </c>
      <c r="O11" s="15">
        <f>B9*0.5</f>
        <v>5350.4013848317645</v>
      </c>
      <c r="P11" s="54">
        <f>B9*8</f>
        <v>85606.422157308232</v>
      </c>
      <c r="Q11" s="10">
        <f ca="1">IF(DATEDIF(B11, TODAY(), "m") &lt; 1, 0,
  IF(DATEDIF(B11, TODAY(), "y") &lt; 1, 8,
    MIN(25, 15 + INT((DATEDIF(B11, TODAY(), "y") - 1) / 2)) * 8 / 12
  )
)</f>
        <v>10</v>
      </c>
      <c r="R11" s="22"/>
      <c r="S11" s="89">
        <v>121720</v>
      </c>
      <c r="T11" s="91"/>
      <c r="U11" s="80"/>
      <c r="V11" s="80"/>
      <c r="W11" s="80"/>
    </row>
    <row r="12" spans="1:23">
      <c r="A12" s="18">
        <v>2980860</v>
      </c>
      <c r="B12" s="2" t="s">
        <v>85</v>
      </c>
      <c r="C12" s="10">
        <f>SUM(C11, H11*1.5, K11*1.5)</f>
        <v>288.84375</v>
      </c>
      <c r="D12" s="80">
        <f>(D11 * 209) +  F11</f>
        <v>2266880</v>
      </c>
      <c r="E12" s="79"/>
      <c r="F12" s="79"/>
      <c r="G12" s="80">
        <f>H11 * I11</f>
        <v>523097.27824917698</v>
      </c>
      <c r="H12" s="79"/>
      <c r="I12" s="79"/>
      <c r="J12" s="80">
        <f>K11 * L11</f>
        <v>331294.94289114542</v>
      </c>
      <c r="K12" s="79"/>
      <c r="L12" s="79"/>
      <c r="M12" s="85">
        <f>N11*O11</f>
        <v>0</v>
      </c>
      <c r="N12" s="79"/>
      <c r="O12" s="79"/>
      <c r="P12" s="86">
        <f ca="1">B9*Q11</f>
        <v>107008.02769663528</v>
      </c>
      <c r="Q12" s="86"/>
      <c r="R12" s="15">
        <f>B9*0.5*R11</f>
        <v>0</v>
      </c>
      <c r="S12" s="90"/>
      <c r="T12" s="92"/>
      <c r="U12" s="10" t="s">
        <v>19</v>
      </c>
      <c r="V12" s="87">
        <f>D12+G12+J12+M12</f>
        <v>3121272.2211403227</v>
      </c>
      <c r="W12" s="88"/>
    </row>
    <row r="13" spans="1:23">
      <c r="J13" s="59"/>
    </row>
    <row r="14" spans="1:23">
      <c r="J14" s="59"/>
    </row>
    <row r="15" spans="1:23">
      <c r="A15" s="2" t="s">
        <v>16</v>
      </c>
      <c r="B15" s="3">
        <f>(A18+F17)/C18</f>
        <v>12508.834664135351</v>
      </c>
      <c r="C15" s="79" t="s">
        <v>3</v>
      </c>
      <c r="D15" s="79"/>
      <c r="E15" s="79"/>
      <c r="F15" s="79"/>
      <c r="G15" s="79" t="s">
        <v>14</v>
      </c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 t="s">
        <v>15</v>
      </c>
      <c r="S15" s="79"/>
      <c r="T15" s="79"/>
      <c r="U15" s="79" t="s">
        <v>18</v>
      </c>
      <c r="V15" s="79"/>
      <c r="W15" s="79"/>
    </row>
    <row r="16" spans="1:23">
      <c r="A16" s="8" t="s">
        <v>0</v>
      </c>
      <c r="B16" s="4" t="s">
        <v>87</v>
      </c>
      <c r="C16" s="79" t="s">
        <v>4</v>
      </c>
      <c r="D16" s="79"/>
      <c r="E16" s="10" t="s">
        <v>5</v>
      </c>
      <c r="F16" s="10" t="s">
        <v>6</v>
      </c>
      <c r="G16" s="79" t="s">
        <v>7</v>
      </c>
      <c r="H16" s="79"/>
      <c r="I16" s="79"/>
      <c r="J16" s="79" t="s">
        <v>8</v>
      </c>
      <c r="K16" s="79"/>
      <c r="L16" s="79"/>
      <c r="M16" s="79" t="s">
        <v>10</v>
      </c>
      <c r="N16" s="79"/>
      <c r="O16" s="79"/>
      <c r="P16" s="79" t="s">
        <v>11</v>
      </c>
      <c r="Q16" s="79"/>
      <c r="R16" s="10" t="s">
        <v>9</v>
      </c>
      <c r="S16" s="10" t="s">
        <v>12</v>
      </c>
      <c r="T16" s="10" t="s">
        <v>13</v>
      </c>
      <c r="U16" s="80">
        <f ca="1">ROUNDDOWN(SUM(D18, G18, J18, M18, P18, R18, S17, T17), -1)</f>
        <v>4450000</v>
      </c>
      <c r="V16" s="80"/>
      <c r="W16" s="80"/>
    </row>
    <row r="17" spans="1:23">
      <c r="A17" s="8" t="s">
        <v>1</v>
      </c>
      <c r="B17" s="17">
        <v>44986</v>
      </c>
      <c r="C17" s="10">
        <v>209</v>
      </c>
      <c r="D17" s="11">
        <v>10320</v>
      </c>
      <c r="E17" s="12">
        <v>200000</v>
      </c>
      <c r="F17" s="12">
        <v>700000</v>
      </c>
      <c r="G17" s="13">
        <v>7.5</v>
      </c>
      <c r="H17" s="13">
        <f>G17*365/84</f>
        <v>32.589285714285715</v>
      </c>
      <c r="I17" s="11">
        <f>B15 * 1.5</f>
        <v>18763.251996203027</v>
      </c>
      <c r="J17" s="58">
        <v>9.5</v>
      </c>
      <c r="K17" s="10">
        <f>J17*365/84</f>
        <v>41.279761904761905</v>
      </c>
      <c r="L17" s="11">
        <f>B15 * 1.5</f>
        <v>18763.251996203027</v>
      </c>
      <c r="M17" s="10"/>
      <c r="N17" s="10">
        <v>0</v>
      </c>
      <c r="O17" s="15">
        <f>B15*0.5</f>
        <v>6254.4173320676755</v>
      </c>
      <c r="P17" s="54">
        <f>B15*8</f>
        <v>100070.67731308281</v>
      </c>
      <c r="Q17" s="76">
        <f ca="1">IF(DATEDIF(B17, TODAY(), "m") &lt; 1, 0,
  IF(DATEDIF(B17, TODAY(), "y") &lt; 1, 8,
    MIN(25, 15 + INT((DATEDIF(B17, TODAY(), "y") - 1) / 2)) * 8 / 12
  )
)</f>
        <v>10.666666666666666</v>
      </c>
      <c r="R17" s="16"/>
      <c r="S17" s="81">
        <v>73670</v>
      </c>
      <c r="T17" s="83"/>
      <c r="U17" s="80"/>
      <c r="V17" s="80"/>
      <c r="W17" s="80"/>
    </row>
    <row r="18" spans="1:23">
      <c r="A18" s="18">
        <v>3300370</v>
      </c>
      <c r="B18" s="4" t="s">
        <v>86</v>
      </c>
      <c r="C18" s="10">
        <f>SUM(C17, H17*1.5, K17*1.5)</f>
        <v>319.80357142857144</v>
      </c>
      <c r="D18" s="80">
        <f>(D17 * 209)  + F17</f>
        <v>2856880</v>
      </c>
      <c r="E18" s="79"/>
      <c r="F18" s="79"/>
      <c r="G18" s="80">
        <f>H17 * I17</f>
        <v>611480.98023340222</v>
      </c>
      <c r="H18" s="79"/>
      <c r="I18" s="79"/>
      <c r="J18" s="80">
        <f>K17 * L17</f>
        <v>774542.57496230945</v>
      </c>
      <c r="K18" s="79"/>
      <c r="L18" s="79"/>
      <c r="M18" s="85">
        <f>N17*O17</f>
        <v>0</v>
      </c>
      <c r="N18" s="79"/>
      <c r="O18" s="79"/>
      <c r="P18" s="80">
        <f ca="1">B15*Q17</f>
        <v>133427.56975077707</v>
      </c>
      <c r="Q18" s="80"/>
      <c r="R18" s="15">
        <f>B15*0.5*R17</f>
        <v>0</v>
      </c>
      <c r="S18" s="82"/>
      <c r="T18" s="84"/>
      <c r="U18" s="10" t="s">
        <v>19</v>
      </c>
      <c r="V18" s="87">
        <f>D18+F17+G18+L18+M18</f>
        <v>4168360.980233402</v>
      </c>
      <c r="W18" s="88"/>
    </row>
    <row r="21" spans="1:23">
      <c r="A21" s="2" t="s">
        <v>16</v>
      </c>
      <c r="B21" s="3">
        <f>(A24+F23)/C24</f>
        <v>10632.68300854319</v>
      </c>
      <c r="C21" s="79" t="s">
        <v>3</v>
      </c>
      <c r="D21" s="79"/>
      <c r="E21" s="79"/>
      <c r="F21" s="79"/>
      <c r="G21" s="79" t="s">
        <v>14</v>
      </c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 t="s">
        <v>15</v>
      </c>
      <c r="S21" s="79"/>
      <c r="T21" s="79"/>
      <c r="U21" s="79" t="s">
        <v>18</v>
      </c>
      <c r="V21" s="79"/>
      <c r="W21" s="79"/>
    </row>
    <row r="22" spans="1:23">
      <c r="A22" s="8" t="s">
        <v>0</v>
      </c>
      <c r="B22" s="4" t="s">
        <v>131</v>
      </c>
      <c r="C22" s="79" t="s">
        <v>4</v>
      </c>
      <c r="D22" s="79"/>
      <c r="E22" s="10" t="s">
        <v>5</v>
      </c>
      <c r="F22" s="10" t="s">
        <v>6</v>
      </c>
      <c r="G22" s="79" t="s">
        <v>7</v>
      </c>
      <c r="H22" s="79"/>
      <c r="I22" s="79"/>
      <c r="J22" s="79" t="s">
        <v>8</v>
      </c>
      <c r="K22" s="79"/>
      <c r="L22" s="79"/>
      <c r="M22" s="79" t="s">
        <v>10</v>
      </c>
      <c r="N22" s="79"/>
      <c r="O22" s="79"/>
      <c r="P22" s="79" t="s">
        <v>11</v>
      </c>
      <c r="Q22" s="79"/>
      <c r="R22" s="10" t="s">
        <v>9</v>
      </c>
      <c r="S22" s="10" t="s">
        <v>12</v>
      </c>
      <c r="T22" s="10" t="s">
        <v>13</v>
      </c>
      <c r="U22" s="80">
        <f ca="1">ROUNDDOWN(SUM(D24, G24, J24, M24, P24, R24, S23, T23), -1)</f>
        <v>3650000</v>
      </c>
      <c r="V22" s="80"/>
      <c r="W22" s="80"/>
    </row>
    <row r="23" spans="1:23">
      <c r="A23" s="8" t="s">
        <v>1</v>
      </c>
      <c r="B23" s="17">
        <v>45294</v>
      </c>
      <c r="C23" s="10">
        <v>209</v>
      </c>
      <c r="D23" s="11">
        <v>10320</v>
      </c>
      <c r="E23" s="12">
        <v>0</v>
      </c>
      <c r="F23" s="12">
        <v>100000</v>
      </c>
      <c r="G23" s="13">
        <v>7.5</v>
      </c>
      <c r="H23" s="13">
        <f>G23*365/84</f>
        <v>32.589285714285715</v>
      </c>
      <c r="I23" s="11">
        <f>B21 * 1.5</f>
        <v>15949.024512814785</v>
      </c>
      <c r="J23" s="58">
        <v>9.5</v>
      </c>
      <c r="K23" s="10">
        <f>J23*365/84</f>
        <v>41.279761904761905</v>
      </c>
      <c r="L23" s="11">
        <f>B21 * 1.5</f>
        <v>15949.024512814785</v>
      </c>
      <c r="M23" s="10"/>
      <c r="N23" s="10">
        <v>0</v>
      </c>
      <c r="O23" s="15">
        <f>B21*0.5</f>
        <v>5316.3415042715951</v>
      </c>
      <c r="P23" s="54">
        <f>B21*8</f>
        <v>85061.464068345522</v>
      </c>
      <c r="Q23" s="10">
        <f ca="1">IF(DATEDIF(B23, TODAY(), "m") &lt; 1, 0,
  IF(DATEDIF(B23, TODAY(), "y") &lt; 1, 8,
    MIN(25, 15 + INT((DATEDIF(B23, TODAY(), "y") - 1) / 2)) * 8 / 12
  )
)</f>
        <v>10</v>
      </c>
      <c r="R23" s="16"/>
      <c r="S23" s="81">
        <v>108660</v>
      </c>
      <c r="T23" s="83"/>
      <c r="U23" s="80"/>
      <c r="V23" s="80"/>
      <c r="W23" s="80"/>
    </row>
    <row r="24" spans="1:23">
      <c r="A24" s="18">
        <v>3300370</v>
      </c>
      <c r="B24" s="4" t="s">
        <v>132</v>
      </c>
      <c r="C24" s="10">
        <f>SUM(C23, H23*1.5, K23*1.5)</f>
        <v>319.80357142857144</v>
      </c>
      <c r="D24" s="80">
        <f>(D23 * 209)  + F23</f>
        <v>2256880</v>
      </c>
      <c r="E24" s="79"/>
      <c r="F24" s="79"/>
      <c r="G24" s="80">
        <f>H23 * I23</f>
        <v>519767.31671226758</v>
      </c>
      <c r="H24" s="79"/>
      <c r="I24" s="79"/>
      <c r="J24" s="80">
        <f>K23 * L23</f>
        <v>658371.93450220558</v>
      </c>
      <c r="K24" s="79"/>
      <c r="L24" s="79"/>
      <c r="M24" s="85">
        <f>N23*O23</f>
        <v>0</v>
      </c>
      <c r="N24" s="79"/>
      <c r="O24" s="79"/>
      <c r="P24" s="80">
        <f ca="1">B21*Q23</f>
        <v>106326.83008543189</v>
      </c>
      <c r="Q24" s="80"/>
      <c r="R24" s="15">
        <f>B21*0.5*R23</f>
        <v>0</v>
      </c>
      <c r="S24" s="82"/>
      <c r="T24" s="84"/>
      <c r="U24" s="10" t="s">
        <v>19</v>
      </c>
      <c r="V24" s="87">
        <f>D24+F23+G24+L24+M24</f>
        <v>2876647.3167122677</v>
      </c>
      <c r="W24" s="88"/>
    </row>
    <row r="27" spans="1:23">
      <c r="A27" s="2" t="s">
        <v>16</v>
      </c>
      <c r="B27" s="3">
        <f>(A30+F29)/C30</f>
        <v>10320</v>
      </c>
      <c r="C27" s="79" t="s">
        <v>3</v>
      </c>
      <c r="D27" s="79"/>
      <c r="E27" s="79"/>
      <c r="F27" s="79"/>
      <c r="G27" s="79" t="s">
        <v>14</v>
      </c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 t="s">
        <v>15</v>
      </c>
      <c r="S27" s="79"/>
      <c r="T27" s="79"/>
      <c r="U27" s="79" t="s">
        <v>18</v>
      </c>
      <c r="V27" s="79"/>
      <c r="W27" s="79"/>
    </row>
    <row r="28" spans="1:23">
      <c r="A28" s="77" t="s">
        <v>92</v>
      </c>
      <c r="B28" s="4" t="s">
        <v>133</v>
      </c>
      <c r="C28" s="79" t="s">
        <v>4</v>
      </c>
      <c r="D28" s="79"/>
      <c r="E28" s="10" t="s">
        <v>5</v>
      </c>
      <c r="F28" s="10" t="s">
        <v>6</v>
      </c>
      <c r="G28" s="79" t="s">
        <v>7</v>
      </c>
      <c r="H28" s="79"/>
      <c r="I28" s="79"/>
      <c r="J28" s="79" t="s">
        <v>8</v>
      </c>
      <c r="K28" s="79"/>
      <c r="L28" s="79"/>
      <c r="M28" s="79" t="s">
        <v>10</v>
      </c>
      <c r="N28" s="79"/>
      <c r="O28" s="79"/>
      <c r="P28" s="79" t="s">
        <v>11</v>
      </c>
      <c r="Q28" s="79"/>
      <c r="R28" s="10" t="s">
        <v>9</v>
      </c>
      <c r="S28" s="10" t="s">
        <v>12</v>
      </c>
      <c r="T28" s="10" t="s">
        <v>13</v>
      </c>
      <c r="U28" s="80">
        <f ca="1">ROUNDDOWN(SUM(D30, G30, J30, M30, P30, R30, S29, T29), -1)</f>
        <v>1550000</v>
      </c>
      <c r="V28" s="80"/>
      <c r="W28" s="80"/>
    </row>
    <row r="29" spans="1:23">
      <c r="A29" s="8" t="s">
        <v>1</v>
      </c>
      <c r="B29" s="17">
        <v>45445</v>
      </c>
      <c r="C29" s="10">
        <v>141</v>
      </c>
      <c r="D29" s="11">
        <v>10320</v>
      </c>
      <c r="E29" s="12"/>
      <c r="F29" s="12"/>
      <c r="G29" s="13"/>
      <c r="H29" s="13">
        <f>G29*365/84</f>
        <v>0</v>
      </c>
      <c r="I29" s="11">
        <f>B27 * 1.5</f>
        <v>15480</v>
      </c>
      <c r="J29" s="58"/>
      <c r="K29" s="10">
        <f>J29*365/84</f>
        <v>0</v>
      </c>
      <c r="L29" s="11">
        <f>B27 * 1.5</f>
        <v>15480</v>
      </c>
      <c r="M29" s="10"/>
      <c r="N29" s="10">
        <f>M29*365/84</f>
        <v>0</v>
      </c>
      <c r="O29" s="15">
        <f>B27*0.5</f>
        <v>5160</v>
      </c>
      <c r="P29" s="54">
        <f>B27*4.5</f>
        <v>46440</v>
      </c>
      <c r="Q29" s="76">
        <f ca="1">IF(DATEDIF(B29, TODAY(), "m") &lt; 1, 0,
  IF(DATEDIF(B29, TODAY(), "y") &lt; 1, 4.5,
    MIN(25, 15 + INT((DATEDIF(B29, TODAY(), "y") - 1) / 2)) * 4.5 / 12
  )
)</f>
        <v>5.625</v>
      </c>
      <c r="R29" s="16"/>
      <c r="S29" s="81">
        <v>36830</v>
      </c>
      <c r="T29" s="83"/>
      <c r="U29" s="80"/>
      <c r="V29" s="80"/>
      <c r="W29" s="80"/>
    </row>
    <row r="30" spans="1:23">
      <c r="A30" s="75">
        <v>1455120</v>
      </c>
      <c r="B30" s="4" t="s">
        <v>110</v>
      </c>
      <c r="C30" s="10">
        <f>SUM(C29, H29*1.5, K29*1.5)</f>
        <v>141</v>
      </c>
      <c r="D30" s="80">
        <f>(D29 * C29)  + F29</f>
        <v>1455120</v>
      </c>
      <c r="E30" s="79"/>
      <c r="F30" s="79"/>
      <c r="G30" s="80">
        <f>H29 * I29</f>
        <v>0</v>
      </c>
      <c r="H30" s="79"/>
      <c r="I30" s="79"/>
      <c r="J30" s="80">
        <f>K29 * L29</f>
        <v>0</v>
      </c>
      <c r="K30" s="79"/>
      <c r="L30" s="79"/>
      <c r="M30" s="85">
        <f>N29*O29</f>
        <v>0</v>
      </c>
      <c r="N30" s="79"/>
      <c r="O30" s="79"/>
      <c r="P30" s="80">
        <f ca="1">B27*Q29</f>
        <v>58050</v>
      </c>
      <c r="Q30" s="80"/>
      <c r="R30" s="15">
        <f>B27*0.5*R29</f>
        <v>0</v>
      </c>
      <c r="S30" s="82"/>
      <c r="T30" s="84"/>
      <c r="U30" s="10" t="s">
        <v>19</v>
      </c>
      <c r="V30" s="87">
        <f>D30+G30+J30+M30</f>
        <v>1455120</v>
      </c>
      <c r="W30" s="88"/>
    </row>
    <row r="33" spans="1:23">
      <c r="A33" s="2" t="s">
        <v>16</v>
      </c>
      <c r="B33" s="20">
        <f>(A36+F35)/C36</f>
        <v>10631.561181434599</v>
      </c>
      <c r="C33" s="79" t="s">
        <v>3</v>
      </c>
      <c r="D33" s="79"/>
      <c r="E33" s="79"/>
      <c r="F33" s="79"/>
      <c r="G33" s="79" t="s">
        <v>14</v>
      </c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 t="s">
        <v>15</v>
      </c>
      <c r="S33" s="79"/>
      <c r="T33" s="79"/>
      <c r="U33" s="79" t="s">
        <v>18</v>
      </c>
      <c r="V33" s="79"/>
      <c r="W33" s="79"/>
    </row>
    <row r="34" spans="1:23">
      <c r="A34" s="9" t="s">
        <v>20</v>
      </c>
      <c r="B34" s="2" t="s">
        <v>135</v>
      </c>
      <c r="C34" s="79" t="s">
        <v>4</v>
      </c>
      <c r="D34" s="79"/>
      <c r="E34" s="10" t="s">
        <v>5</v>
      </c>
      <c r="F34" s="10" t="s">
        <v>6</v>
      </c>
      <c r="G34" s="79" t="s">
        <v>7</v>
      </c>
      <c r="H34" s="79"/>
      <c r="I34" s="79"/>
      <c r="J34" s="79" t="s">
        <v>8</v>
      </c>
      <c r="K34" s="79"/>
      <c r="L34" s="79"/>
      <c r="M34" s="79" t="s">
        <v>10</v>
      </c>
      <c r="N34" s="79"/>
      <c r="O34" s="79"/>
      <c r="P34" s="79" t="s">
        <v>11</v>
      </c>
      <c r="Q34" s="79"/>
      <c r="R34" s="10" t="s">
        <v>9</v>
      </c>
      <c r="S34" s="10" t="s">
        <v>12</v>
      </c>
      <c r="T34" s="10" t="s">
        <v>13</v>
      </c>
      <c r="U34" s="80">
        <f ca="1">ROUNDDOWN(SUM(D36, G36, J36, M36, P36, R36, S35, T35), -1)</f>
        <v>3250000</v>
      </c>
      <c r="V34" s="80"/>
      <c r="W34" s="80"/>
    </row>
    <row r="35" spans="1:23">
      <c r="A35" s="9" t="s">
        <v>21</v>
      </c>
      <c r="B35" s="19">
        <v>45536</v>
      </c>
      <c r="C35" s="10">
        <v>209</v>
      </c>
      <c r="D35" s="11">
        <v>10320</v>
      </c>
      <c r="E35" s="21"/>
      <c r="F35" s="21">
        <v>90000</v>
      </c>
      <c r="G35" s="13">
        <v>7.5</v>
      </c>
      <c r="H35" s="13">
        <f>G35*365/84</f>
        <v>32.589285714285715</v>
      </c>
      <c r="I35" s="11">
        <f>B33 * 1.5</f>
        <v>15947.3417721519</v>
      </c>
      <c r="J35" s="58">
        <v>4.75</v>
      </c>
      <c r="K35" s="10">
        <f>J35*365/84</f>
        <v>20.639880952380953</v>
      </c>
      <c r="L35" s="11">
        <f>B33 * 1.5</f>
        <v>15947.3417721519</v>
      </c>
      <c r="M35" s="10"/>
      <c r="N35" s="10">
        <v>0</v>
      </c>
      <c r="O35" s="15">
        <f>B33*0.5</f>
        <v>5315.7805907172997</v>
      </c>
      <c r="P35" s="54">
        <f>B33*8</f>
        <v>85052.489451476795</v>
      </c>
      <c r="Q35" s="10">
        <f ca="1">IF(DATEDIF(B35, TODAY(), "m") &lt; 1, 0,
  IF(DATEDIF(B35, TODAY(), "y") &lt; 1, 8,
    MIN(25, 15 + INT((DATEDIF(B35, TODAY(), "y") - 1) / 2)) * 8 / 12
  )
)</f>
        <v>10</v>
      </c>
      <c r="R35" s="22"/>
      <c r="S35" s="89">
        <v>47950</v>
      </c>
      <c r="T35" s="91"/>
      <c r="U35" s="80"/>
      <c r="V35" s="80"/>
      <c r="W35" s="80"/>
    </row>
    <row r="36" spans="1:23">
      <c r="A36" s="18">
        <v>2980860</v>
      </c>
      <c r="B36" s="2" t="s">
        <v>110</v>
      </c>
      <c r="C36" s="10">
        <f>SUM(C35, H35*1.5, K35*1.5)</f>
        <v>288.84375</v>
      </c>
      <c r="D36" s="80">
        <f>(D35 * 209) +  F35</f>
        <v>2246880</v>
      </c>
      <c r="E36" s="79"/>
      <c r="F36" s="79"/>
      <c r="G36" s="80">
        <f>H35 * I35</f>
        <v>519712.47739602177</v>
      </c>
      <c r="H36" s="79"/>
      <c r="I36" s="79"/>
      <c r="J36" s="80">
        <f>K35 * L35</f>
        <v>329151.2356841471</v>
      </c>
      <c r="K36" s="79"/>
      <c r="L36" s="79"/>
      <c r="M36" s="85">
        <f>N35*O35</f>
        <v>0</v>
      </c>
      <c r="N36" s="79"/>
      <c r="O36" s="79"/>
      <c r="P36" s="86">
        <f ca="1">B33*Q35</f>
        <v>106315.61181434599</v>
      </c>
      <c r="Q36" s="86"/>
      <c r="R36" s="15">
        <f>B33*0.5*R35</f>
        <v>0</v>
      </c>
      <c r="S36" s="90"/>
      <c r="T36" s="92"/>
      <c r="U36" s="10" t="s">
        <v>19</v>
      </c>
      <c r="V36" s="87">
        <f>D36+G36+J36+M36</f>
        <v>3095743.7130801687</v>
      </c>
      <c r="W36" s="88"/>
    </row>
    <row r="39" spans="1:23">
      <c r="A39" s="2" t="s">
        <v>16</v>
      </c>
      <c r="B39" s="20">
        <f>(A42+F41)/C42</f>
        <v>10596.940387320134</v>
      </c>
      <c r="C39" s="79" t="s">
        <v>3</v>
      </c>
      <c r="D39" s="79"/>
      <c r="E39" s="79"/>
      <c r="F39" s="79"/>
      <c r="G39" s="79" t="s">
        <v>14</v>
      </c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 t="s">
        <v>15</v>
      </c>
      <c r="S39" s="79"/>
      <c r="T39" s="79"/>
      <c r="U39" s="79" t="s">
        <v>18</v>
      </c>
      <c r="V39" s="79"/>
      <c r="W39" s="79"/>
    </row>
    <row r="40" spans="1:23">
      <c r="A40" s="9" t="s">
        <v>20</v>
      </c>
      <c r="B40" s="2" t="s">
        <v>24</v>
      </c>
      <c r="C40" s="79" t="s">
        <v>4</v>
      </c>
      <c r="D40" s="79"/>
      <c r="E40" s="10" t="s">
        <v>5</v>
      </c>
      <c r="F40" s="10" t="s">
        <v>6</v>
      </c>
      <c r="G40" s="79" t="s">
        <v>7</v>
      </c>
      <c r="H40" s="79"/>
      <c r="I40" s="79"/>
      <c r="J40" s="79" t="s">
        <v>8</v>
      </c>
      <c r="K40" s="79"/>
      <c r="L40" s="79"/>
      <c r="M40" s="79" t="s">
        <v>10</v>
      </c>
      <c r="N40" s="79"/>
      <c r="O40" s="79"/>
      <c r="P40" s="79" t="s">
        <v>11</v>
      </c>
      <c r="Q40" s="79"/>
      <c r="R40" s="10" t="s">
        <v>9</v>
      </c>
      <c r="S40" s="10" t="s">
        <v>12</v>
      </c>
      <c r="T40" s="10" t="s">
        <v>13</v>
      </c>
      <c r="U40" s="80">
        <f ca="1">ROUNDDOWN(SUM(D42, G42, J42, M42, P42, R42, S41, T41), -1)</f>
        <v>3300000</v>
      </c>
      <c r="V40" s="80"/>
      <c r="W40" s="80"/>
    </row>
    <row r="41" spans="1:23">
      <c r="A41" s="9" t="s">
        <v>21</v>
      </c>
      <c r="B41" s="19">
        <v>45663</v>
      </c>
      <c r="C41" s="10">
        <v>209</v>
      </c>
      <c r="D41" s="11">
        <v>10320</v>
      </c>
      <c r="E41" s="21"/>
      <c r="F41" s="21">
        <v>80000</v>
      </c>
      <c r="G41" s="13">
        <v>7.5</v>
      </c>
      <c r="H41" s="13">
        <f>G41*365/84</f>
        <v>32.589285714285715</v>
      </c>
      <c r="I41" s="11">
        <f>B39 * 1.5</f>
        <v>15895.4105809802</v>
      </c>
      <c r="J41" s="58">
        <v>4.75</v>
      </c>
      <c r="K41" s="10">
        <f>J41*365/84</f>
        <v>20.639880952380953</v>
      </c>
      <c r="L41" s="11">
        <f>B39 * 1.5</f>
        <v>15895.4105809802</v>
      </c>
      <c r="M41" s="10"/>
      <c r="N41" s="10">
        <v>0</v>
      </c>
      <c r="O41" s="15">
        <f>B39*0.5</f>
        <v>5298.4701936600668</v>
      </c>
      <c r="P41" s="54">
        <f>B39*8</f>
        <v>84775.523098561069</v>
      </c>
      <c r="Q41" s="10">
        <f ca="1">IF(DATEDIF(B41, TODAY(), "m") &lt; 1, 0,
  IF(DATEDIF(B41, TODAY(), "y") &lt; 1, 8,
    MIN(25, 15 + INT((DATEDIF(B41, TODAY(), "y") - 1) / 2)) * 8 / 12
  )
)</f>
        <v>10</v>
      </c>
      <c r="R41" s="22"/>
      <c r="S41" s="89">
        <v>111060</v>
      </c>
      <c r="T41" s="91"/>
      <c r="U41" s="80"/>
      <c r="V41" s="80"/>
      <c r="W41" s="80"/>
    </row>
    <row r="42" spans="1:23">
      <c r="A42" s="18">
        <v>2980860</v>
      </c>
      <c r="B42" s="2" t="s">
        <v>25</v>
      </c>
      <c r="C42" s="10">
        <f>SUM(C41, H41*1.5, K41*1.5)</f>
        <v>288.84375</v>
      </c>
      <c r="D42" s="80">
        <f>(D41 * 209) +  F41</f>
        <v>2236880</v>
      </c>
      <c r="E42" s="79"/>
      <c r="F42" s="79"/>
      <c r="G42" s="80">
        <f>H41 * I41</f>
        <v>518020.07696944405</v>
      </c>
      <c r="H42" s="79"/>
      <c r="I42" s="79"/>
      <c r="J42" s="80">
        <f>K41 * L41</f>
        <v>328079.38208064786</v>
      </c>
      <c r="K42" s="79"/>
      <c r="L42" s="79"/>
      <c r="M42" s="85">
        <f>N41*O41</f>
        <v>0</v>
      </c>
      <c r="N42" s="79"/>
      <c r="O42" s="79"/>
      <c r="P42" s="86">
        <f ca="1">B39*Q41</f>
        <v>105969.40387320134</v>
      </c>
      <c r="Q42" s="86"/>
      <c r="R42" s="15">
        <f>B39*0.5*R41</f>
        <v>0</v>
      </c>
      <c r="S42" s="90"/>
      <c r="T42" s="92"/>
      <c r="U42" s="10" t="s">
        <v>19</v>
      </c>
      <c r="V42" s="87">
        <f>D42+G42+J42+M42</f>
        <v>3082979.4590500919</v>
      </c>
      <c r="W42" s="88"/>
    </row>
    <row r="43" spans="1:23">
      <c r="S43" t="s">
        <v>138</v>
      </c>
    </row>
    <row r="45" spans="1:23">
      <c r="A45" s="2" t="s">
        <v>16</v>
      </c>
      <c r="B45" s="20">
        <f>(A48+F47)/C48</f>
        <v>10423.836416747808</v>
      </c>
      <c r="C45" s="79" t="s">
        <v>3</v>
      </c>
      <c r="D45" s="79"/>
      <c r="E45" s="79"/>
      <c r="F45" s="79"/>
      <c r="G45" s="79" t="s">
        <v>14</v>
      </c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 t="s">
        <v>15</v>
      </c>
      <c r="S45" s="79"/>
      <c r="T45" s="79"/>
      <c r="U45" s="79" t="s">
        <v>18</v>
      </c>
      <c r="V45" s="79"/>
      <c r="W45" s="79"/>
    </row>
    <row r="46" spans="1:23">
      <c r="A46" s="9" t="s">
        <v>20</v>
      </c>
      <c r="B46" s="2" t="s">
        <v>136</v>
      </c>
      <c r="C46" s="79" t="s">
        <v>4</v>
      </c>
      <c r="D46" s="79"/>
      <c r="E46" s="10" t="s">
        <v>5</v>
      </c>
      <c r="F46" s="10" t="s">
        <v>6</v>
      </c>
      <c r="G46" s="79" t="s">
        <v>7</v>
      </c>
      <c r="H46" s="79"/>
      <c r="I46" s="79"/>
      <c r="J46" s="79" t="s">
        <v>8</v>
      </c>
      <c r="K46" s="79"/>
      <c r="L46" s="79"/>
      <c r="M46" s="79" t="s">
        <v>10</v>
      </c>
      <c r="N46" s="79"/>
      <c r="O46" s="79"/>
      <c r="P46" s="79" t="s">
        <v>11</v>
      </c>
      <c r="Q46" s="79"/>
      <c r="R46" s="10" t="s">
        <v>9</v>
      </c>
      <c r="S46" s="10" t="s">
        <v>12</v>
      </c>
      <c r="T46" s="10" t="s">
        <v>13</v>
      </c>
      <c r="U46" s="80">
        <f ca="1">ROUNDDOWN(SUM(D48, G48, J48, M48, P48, R48, S47, T47), -1)</f>
        <v>3150000</v>
      </c>
      <c r="V46" s="80"/>
      <c r="W46" s="80"/>
    </row>
    <row r="47" spans="1:23">
      <c r="A47" s="9" t="s">
        <v>21</v>
      </c>
      <c r="B47" s="19">
        <v>45723</v>
      </c>
      <c r="C47" s="10">
        <v>209</v>
      </c>
      <c r="D47" s="11">
        <v>10320</v>
      </c>
      <c r="E47" s="21"/>
      <c r="F47" s="21">
        <v>30000</v>
      </c>
      <c r="G47" s="13">
        <v>7.5</v>
      </c>
      <c r="H47" s="13">
        <f>G47*365/84</f>
        <v>32.589285714285715</v>
      </c>
      <c r="I47" s="11">
        <f>B45 * 1.5</f>
        <v>15635.754625121714</v>
      </c>
      <c r="J47" s="58">
        <v>4.75</v>
      </c>
      <c r="K47" s="10">
        <f>J47*365/84</f>
        <v>20.639880952380953</v>
      </c>
      <c r="L47" s="11">
        <f>B45 * 1.5</f>
        <v>15635.754625121714</v>
      </c>
      <c r="M47" s="10"/>
      <c r="N47" s="10">
        <v>0</v>
      </c>
      <c r="O47" s="15">
        <f>B45*0.5</f>
        <v>5211.9182083739042</v>
      </c>
      <c r="P47" s="54">
        <f>B45*8</f>
        <v>83390.691333982468</v>
      </c>
      <c r="Q47" s="10">
        <f ca="1">IF(DATEDIF(B47, TODAY(), "m") &lt; 1, 0,
  IF(DATEDIF(B47, TODAY(), "y") &lt; 1, 8,
    MIN(25, 15 + INT((DATEDIF(B47, TODAY(), "y") - 1) / 2)) * 8 / 12
  )
)</f>
        <v>10</v>
      </c>
      <c r="R47" s="22"/>
      <c r="S47" s="89">
        <v>26610</v>
      </c>
      <c r="T47" s="91"/>
      <c r="U47" s="80"/>
      <c r="V47" s="80"/>
      <c r="W47" s="80"/>
    </row>
    <row r="48" spans="1:23">
      <c r="A48" s="18">
        <v>2980860</v>
      </c>
      <c r="B48" s="2" t="s">
        <v>25</v>
      </c>
      <c r="C48" s="10">
        <f>SUM(C47, H47*1.5, K47*1.5)</f>
        <v>288.84375</v>
      </c>
      <c r="D48" s="80">
        <f>(D47 * 209) +  F47</f>
        <v>2186880</v>
      </c>
      <c r="E48" s="79"/>
      <c r="F48" s="79"/>
      <c r="G48" s="80">
        <f>H47 * I47</f>
        <v>509558.07483655587</v>
      </c>
      <c r="H48" s="79"/>
      <c r="I48" s="79"/>
      <c r="J48" s="80">
        <f>K47 * L47</f>
        <v>322720.11406315205</v>
      </c>
      <c r="K48" s="79"/>
      <c r="L48" s="79"/>
      <c r="M48" s="85">
        <f>N47*O47</f>
        <v>0</v>
      </c>
      <c r="N48" s="79"/>
      <c r="O48" s="79"/>
      <c r="P48" s="86">
        <f ca="1">B45*Q47</f>
        <v>104238.36416747808</v>
      </c>
      <c r="Q48" s="86"/>
      <c r="R48" s="15">
        <f>B45*0.5*R47</f>
        <v>0</v>
      </c>
      <c r="S48" s="90"/>
      <c r="T48" s="92"/>
      <c r="U48" s="10" t="s">
        <v>19</v>
      </c>
      <c r="V48" s="87">
        <f>D48+G48+J48+M48</f>
        <v>3019158.188899708</v>
      </c>
      <c r="W48" s="88"/>
    </row>
    <row r="51" spans="1:23">
      <c r="A51" s="2" t="s">
        <v>16</v>
      </c>
      <c r="B51" s="20">
        <f>(A54+F53)/C54</f>
        <v>10319.974034404415</v>
      </c>
      <c r="C51" s="79" t="s">
        <v>3</v>
      </c>
      <c r="D51" s="79"/>
      <c r="E51" s="79"/>
      <c r="F51" s="79"/>
      <c r="G51" s="79" t="s">
        <v>14</v>
      </c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 t="s">
        <v>15</v>
      </c>
      <c r="S51" s="79"/>
      <c r="T51" s="79"/>
      <c r="U51" s="79" t="s">
        <v>18</v>
      </c>
      <c r="V51" s="79"/>
      <c r="W51" s="79"/>
    </row>
    <row r="52" spans="1:23">
      <c r="A52" s="9" t="s">
        <v>20</v>
      </c>
      <c r="B52" s="2" t="s">
        <v>137</v>
      </c>
      <c r="C52" s="79" t="s">
        <v>4</v>
      </c>
      <c r="D52" s="79"/>
      <c r="E52" s="10" t="s">
        <v>5</v>
      </c>
      <c r="F52" s="10" t="s">
        <v>6</v>
      </c>
      <c r="G52" s="79" t="s">
        <v>7</v>
      </c>
      <c r="H52" s="79"/>
      <c r="I52" s="79"/>
      <c r="J52" s="79" t="s">
        <v>8</v>
      </c>
      <c r="K52" s="79"/>
      <c r="L52" s="79"/>
      <c r="M52" s="79" t="s">
        <v>10</v>
      </c>
      <c r="N52" s="79"/>
      <c r="O52" s="79"/>
      <c r="P52" s="79" t="s">
        <v>11</v>
      </c>
      <c r="Q52" s="79"/>
      <c r="R52" s="10" t="s">
        <v>9</v>
      </c>
      <c r="S52" s="10" t="s">
        <v>12</v>
      </c>
      <c r="T52" s="10" t="s">
        <v>13</v>
      </c>
      <c r="U52" s="80">
        <f ca="1">ROUNDDOWN(SUM(D54, G54, J54, M54, P54, R54, S53, T53), -1)</f>
        <v>3100000</v>
      </c>
      <c r="V52" s="80"/>
      <c r="W52" s="80"/>
    </row>
    <row r="53" spans="1:23">
      <c r="A53" s="9" t="s">
        <v>21</v>
      </c>
      <c r="B53" s="19">
        <v>45931</v>
      </c>
      <c r="C53" s="10">
        <v>209</v>
      </c>
      <c r="D53" s="11">
        <v>10320</v>
      </c>
      <c r="E53" s="21"/>
      <c r="F53" s="21"/>
      <c r="G53" s="13">
        <v>7.5</v>
      </c>
      <c r="H53" s="13">
        <f>G53*365/84</f>
        <v>32.589285714285715</v>
      </c>
      <c r="I53" s="11">
        <f>B51 * 1.5</f>
        <v>15479.961051606622</v>
      </c>
      <c r="J53" s="58">
        <v>4.75</v>
      </c>
      <c r="K53" s="10">
        <f>J53*365/84</f>
        <v>20.639880952380953</v>
      </c>
      <c r="L53" s="11">
        <f>B51 * 1.5</f>
        <v>15479.961051606622</v>
      </c>
      <c r="M53" s="10"/>
      <c r="N53" s="10">
        <v>0</v>
      </c>
      <c r="O53" s="15">
        <f>B51*0.5</f>
        <v>5159.9870172022074</v>
      </c>
      <c r="P53" s="54">
        <f>B51*8</f>
        <v>82559.792275235319</v>
      </c>
      <c r="Q53" s="10">
        <f ca="1">IF(DATEDIF(B53, TODAY(), "m") &lt; 1, 0,
  IF(DATEDIF(B53, TODAY(), "y") &lt; 1, 8,
    MIN(25, 15 + INT((DATEDIF(B53, TODAY(), "y") - 1) / 2)) * 8 / 12
  )
)</f>
        <v>8</v>
      </c>
      <c r="R53" s="22"/>
      <c r="S53" s="89">
        <v>36580</v>
      </c>
      <c r="T53" s="91"/>
      <c r="U53" s="80"/>
      <c r="V53" s="80"/>
      <c r="W53" s="80"/>
    </row>
    <row r="54" spans="1:23">
      <c r="A54" s="18">
        <v>2980860</v>
      </c>
      <c r="B54" s="2" t="s">
        <v>110</v>
      </c>
      <c r="C54" s="10">
        <f>SUM(C53, H53*1.5, K53*1.5)</f>
        <v>288.84375</v>
      </c>
      <c r="D54" s="80">
        <f>(D53 * 209) +  F53</f>
        <v>2156880</v>
      </c>
      <c r="E54" s="79"/>
      <c r="F54" s="79"/>
      <c r="G54" s="80">
        <f>H53 * I53</f>
        <v>504480.87355682295</v>
      </c>
      <c r="H54" s="79"/>
      <c r="I54" s="79"/>
      <c r="J54" s="80">
        <f>K53 * L53</f>
        <v>319504.55325265456</v>
      </c>
      <c r="K54" s="79"/>
      <c r="L54" s="79"/>
      <c r="M54" s="85">
        <f>N53*O53</f>
        <v>0</v>
      </c>
      <c r="N54" s="79"/>
      <c r="O54" s="79"/>
      <c r="P54" s="86">
        <f ca="1">B51*Q53</f>
        <v>82559.792275235319</v>
      </c>
      <c r="Q54" s="86"/>
      <c r="R54" s="15">
        <f>B51*0.5*R53</f>
        <v>0</v>
      </c>
      <c r="S54" s="90"/>
      <c r="T54" s="92"/>
      <c r="U54" s="10" t="s">
        <v>19</v>
      </c>
      <c r="V54" s="87">
        <f>D54+G54+J54+M54</f>
        <v>2980865.4268094776</v>
      </c>
      <c r="W54" s="88"/>
    </row>
    <row r="57" spans="1:23">
      <c r="A57" s="2" t="s">
        <v>16</v>
      </c>
      <c r="B57" s="3">
        <f>( (D59 * 209) + F59 ) / 209</f>
        <v>12712.344497607655</v>
      </c>
      <c r="C57" s="79" t="s">
        <v>3</v>
      </c>
      <c r="D57" s="79"/>
      <c r="E57" s="79"/>
      <c r="F57" s="79"/>
      <c r="G57" s="79" t="s">
        <v>14</v>
      </c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 t="s">
        <v>15</v>
      </c>
      <c r="S57" s="79"/>
      <c r="T57" s="79"/>
      <c r="U57" s="79" t="s">
        <v>18</v>
      </c>
      <c r="V57" s="79"/>
      <c r="W57" s="79"/>
    </row>
    <row r="58" spans="1:23">
      <c r="A58" s="8" t="s">
        <v>0</v>
      </c>
      <c r="B58" s="4" t="s">
        <v>90</v>
      </c>
      <c r="C58" s="79" t="s">
        <v>4</v>
      </c>
      <c r="D58" s="79"/>
      <c r="E58" s="10" t="s">
        <v>5</v>
      </c>
      <c r="F58" s="10" t="s">
        <v>6</v>
      </c>
      <c r="G58" s="79" t="s">
        <v>7</v>
      </c>
      <c r="H58" s="79"/>
      <c r="I58" s="79"/>
      <c r="J58" s="79" t="s">
        <v>8</v>
      </c>
      <c r="K58" s="79"/>
      <c r="L58" s="79"/>
      <c r="M58" s="79" t="s">
        <v>10</v>
      </c>
      <c r="N58" s="79"/>
      <c r="O58" s="79"/>
      <c r="P58" s="79" t="s">
        <v>11</v>
      </c>
      <c r="Q58" s="79"/>
      <c r="R58" s="10" t="s">
        <v>9</v>
      </c>
      <c r="S58" s="10" t="s">
        <v>12</v>
      </c>
      <c r="T58" s="10" t="s">
        <v>13</v>
      </c>
      <c r="U58" s="80">
        <f ca="1">ROUNDDOWN(SUM(D60, G60, J60, M60, P60, R60, S59, T59), -1)</f>
        <v>4167150</v>
      </c>
      <c r="V58" s="80"/>
      <c r="W58" s="80"/>
    </row>
    <row r="59" spans="1:23">
      <c r="A59" s="8" t="s">
        <v>1</v>
      </c>
      <c r="B59" s="17">
        <v>46132</v>
      </c>
      <c r="C59" s="10">
        <v>209</v>
      </c>
      <c r="D59" s="11">
        <v>10320</v>
      </c>
      <c r="E59" s="21"/>
      <c r="F59" s="21">
        <v>500000</v>
      </c>
      <c r="G59" s="13">
        <v>7.5</v>
      </c>
      <c r="H59" s="13">
        <f>G59*365/84</f>
        <v>32.589285714285715</v>
      </c>
      <c r="I59" s="11">
        <f>B57 * 1.5</f>
        <v>19068.516746411482</v>
      </c>
      <c r="J59" s="58">
        <v>9.5</v>
      </c>
      <c r="K59" s="10">
        <f>J59*365/84</f>
        <v>41.279761904761905</v>
      </c>
      <c r="L59" s="11">
        <f>B57 * 1.5</f>
        <v>19068.516746411482</v>
      </c>
      <c r="M59" s="10"/>
      <c r="N59" s="10">
        <v>0</v>
      </c>
      <c r="O59" s="15">
        <f>B57*0.5</f>
        <v>6356.1722488038276</v>
      </c>
      <c r="P59" s="54">
        <f>B57*8</f>
        <v>101698.75598086124</v>
      </c>
      <c r="Q59" s="10">
        <f ca="1">IF(DATEDIF(B59, TODAY(), "m") &lt; 1, 0,
  IF(DATEDIF(B59, TODAY(), "y") &lt; 1, 8,
    MIN(25, 15 + INT((DATEDIF(B59, TODAY(), "y") - 1) / 2)) * 8 / 12
  )
)</f>
        <v>8</v>
      </c>
      <c r="R59" s="22"/>
      <c r="S59" s="89"/>
      <c r="T59" s="91"/>
      <c r="U59" s="80"/>
      <c r="V59" s="80"/>
      <c r="W59" s="80"/>
    </row>
    <row r="60" spans="1:23">
      <c r="A60" s="18">
        <f ca="1">U58/C60</f>
        <v>13030.342286001451</v>
      </c>
      <c r="B60" s="4" t="s">
        <v>91</v>
      </c>
      <c r="C60" s="10">
        <f>SUM(C59, H59*1.5, K59*1.5)</f>
        <v>319.80357142857144</v>
      </c>
      <c r="D60" s="80">
        <f>(D59 * 209) +  F59</f>
        <v>2656880</v>
      </c>
      <c r="E60" s="79"/>
      <c r="F60" s="79"/>
      <c r="G60" s="80">
        <f>H59 * I59</f>
        <v>621429.34039644559</v>
      </c>
      <c r="H60" s="79"/>
      <c r="I60" s="79"/>
      <c r="J60" s="80">
        <f>K59 * L59</f>
        <v>787143.83116883109</v>
      </c>
      <c r="K60" s="79"/>
      <c r="L60" s="79"/>
      <c r="M60" s="85">
        <f>N59*O59</f>
        <v>0</v>
      </c>
      <c r="N60" s="79"/>
      <c r="O60" s="79"/>
      <c r="P60" s="86">
        <f ca="1">B57*Q59</f>
        <v>101698.75598086124</v>
      </c>
      <c r="Q60" s="86"/>
      <c r="R60" s="15">
        <f>B57*0.5*R59</f>
        <v>0</v>
      </c>
      <c r="S60" s="90"/>
      <c r="T60" s="92"/>
      <c r="U60" s="10" t="s">
        <v>19</v>
      </c>
      <c r="V60" s="87">
        <f>D60+G60+J60+M60</f>
        <v>4065453.1715652766</v>
      </c>
      <c r="W60" s="88"/>
    </row>
    <row r="63" spans="1:23">
      <c r="A63" s="2" t="s">
        <v>16</v>
      </c>
      <c r="B63" s="20">
        <f>(A66+F65)/C66</f>
        <v>10319.974034404415</v>
      </c>
      <c r="C63" s="79" t="s">
        <v>3</v>
      </c>
      <c r="D63" s="79"/>
      <c r="E63" s="79"/>
      <c r="F63" s="79"/>
      <c r="G63" s="79" t="s">
        <v>14</v>
      </c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 t="s">
        <v>15</v>
      </c>
      <c r="S63" s="79"/>
      <c r="T63" s="79"/>
      <c r="U63" s="79" t="s">
        <v>18</v>
      </c>
      <c r="V63" s="79"/>
      <c r="W63" s="79"/>
    </row>
    <row r="64" spans="1:23">
      <c r="A64" s="9" t="s">
        <v>20</v>
      </c>
      <c r="B64" s="2" t="s">
        <v>137</v>
      </c>
      <c r="C64" s="79" t="s">
        <v>4</v>
      </c>
      <c r="D64" s="79"/>
      <c r="E64" s="10" t="s">
        <v>5</v>
      </c>
      <c r="F64" s="10" t="s">
        <v>6</v>
      </c>
      <c r="G64" s="79" t="s">
        <v>7</v>
      </c>
      <c r="H64" s="79"/>
      <c r="I64" s="79"/>
      <c r="J64" s="79" t="s">
        <v>8</v>
      </c>
      <c r="K64" s="79"/>
      <c r="L64" s="79"/>
      <c r="M64" s="79" t="s">
        <v>10</v>
      </c>
      <c r="N64" s="79"/>
      <c r="O64" s="79"/>
      <c r="P64" s="79" t="s">
        <v>11</v>
      </c>
      <c r="Q64" s="79"/>
      <c r="R64" s="10" t="s">
        <v>9</v>
      </c>
      <c r="S64" s="10" t="s">
        <v>12</v>
      </c>
      <c r="T64" s="10" t="s">
        <v>13</v>
      </c>
      <c r="U64" s="80">
        <f ca="1">ROUNDDOWN(SUM(D66, G66, J66, M66, P66, R66, S65, T65), -1)</f>
        <v>3100000</v>
      </c>
      <c r="V64" s="80"/>
      <c r="W64" s="80"/>
    </row>
    <row r="65" spans="1:23">
      <c r="A65" s="9" t="s">
        <v>21</v>
      </c>
      <c r="B65" s="19">
        <v>46129</v>
      </c>
      <c r="C65" s="10">
        <v>209</v>
      </c>
      <c r="D65" s="11">
        <v>10320</v>
      </c>
      <c r="E65" s="21"/>
      <c r="F65" s="21"/>
      <c r="G65" s="13">
        <v>7.5</v>
      </c>
      <c r="H65" s="13">
        <f>G65*365/84</f>
        <v>32.589285714285715</v>
      </c>
      <c r="I65" s="11">
        <f>B63 * 1.5</f>
        <v>15479.961051606622</v>
      </c>
      <c r="J65" s="58">
        <v>4.75</v>
      </c>
      <c r="K65" s="10">
        <f>J65*365/84</f>
        <v>20.639880952380953</v>
      </c>
      <c r="L65" s="11">
        <f>B63 * 1.5</f>
        <v>15479.961051606622</v>
      </c>
      <c r="M65" s="10"/>
      <c r="N65" s="10">
        <v>0</v>
      </c>
      <c r="O65" s="15">
        <f>B63*0.5</f>
        <v>5159.9870172022074</v>
      </c>
      <c r="P65" s="54">
        <f>B63*8</f>
        <v>82559.792275235319</v>
      </c>
      <c r="Q65" s="10">
        <f ca="1">IF(DATEDIF(B65, TODAY(), "m") &lt; 1, 0,
  IF(DATEDIF(B65, TODAY(), "y") &lt; 1, 8,
    MIN(25, 15 + INT((DATEDIF(B65, TODAY(), "y") - 1) / 2)) * 8 / 12
  )
)</f>
        <v>8</v>
      </c>
      <c r="R65" s="22"/>
      <c r="S65" s="89">
        <v>36580</v>
      </c>
      <c r="T65" s="91"/>
      <c r="U65" s="80"/>
      <c r="V65" s="80"/>
      <c r="W65" s="80"/>
    </row>
    <row r="66" spans="1:23">
      <c r="A66" s="18">
        <v>2980860</v>
      </c>
      <c r="B66" s="2" t="s">
        <v>110</v>
      </c>
      <c r="C66" s="10">
        <f>SUM(C65, H65*1.5, K65*1.5)</f>
        <v>288.84375</v>
      </c>
      <c r="D66" s="80">
        <f>(D65 * 209) +  F65</f>
        <v>2156880</v>
      </c>
      <c r="E66" s="79"/>
      <c r="F66" s="79"/>
      <c r="G66" s="80">
        <f>H65 * I65</f>
        <v>504480.87355682295</v>
      </c>
      <c r="H66" s="79"/>
      <c r="I66" s="79"/>
      <c r="J66" s="80">
        <f>K65 * L65</f>
        <v>319504.55325265456</v>
      </c>
      <c r="K66" s="79"/>
      <c r="L66" s="79"/>
      <c r="M66" s="85">
        <f>N65*O65</f>
        <v>0</v>
      </c>
      <c r="N66" s="79"/>
      <c r="O66" s="79"/>
      <c r="P66" s="86">
        <f ca="1">B63*Q65</f>
        <v>82559.792275235319</v>
      </c>
      <c r="Q66" s="86"/>
      <c r="R66" s="15">
        <f>B63*0.5*R65</f>
        <v>0</v>
      </c>
      <c r="S66" s="90"/>
      <c r="T66" s="92"/>
      <c r="U66" s="10" t="s">
        <v>19</v>
      </c>
      <c r="V66" s="87">
        <f>D66+G66+J66+M66</f>
        <v>2980865.4268094776</v>
      </c>
      <c r="W66" s="88"/>
    </row>
    <row r="69" spans="1:23">
      <c r="A69" s="2" t="s">
        <v>16</v>
      </c>
      <c r="B69" s="3">
        <f>(A72+F71)/C72</f>
        <v>10320</v>
      </c>
      <c r="C69" s="79" t="s">
        <v>3</v>
      </c>
      <c r="D69" s="79"/>
      <c r="E69" s="79"/>
      <c r="F69" s="79"/>
      <c r="G69" s="79" t="s">
        <v>14</v>
      </c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 t="s">
        <v>15</v>
      </c>
      <c r="S69" s="79"/>
      <c r="T69" s="79"/>
      <c r="U69" s="79" t="s">
        <v>18</v>
      </c>
      <c r="V69" s="79"/>
      <c r="W69" s="79"/>
    </row>
    <row r="70" spans="1:23">
      <c r="A70" s="77" t="s">
        <v>92</v>
      </c>
      <c r="B70" s="4" t="s">
        <v>140</v>
      </c>
      <c r="C70" s="79" t="s">
        <v>4</v>
      </c>
      <c r="D70" s="79"/>
      <c r="E70" s="10" t="s">
        <v>5</v>
      </c>
      <c r="F70" s="10" t="s">
        <v>6</v>
      </c>
      <c r="G70" s="79" t="s">
        <v>7</v>
      </c>
      <c r="H70" s="79"/>
      <c r="I70" s="79"/>
      <c r="J70" s="79" t="s">
        <v>8</v>
      </c>
      <c r="K70" s="79"/>
      <c r="L70" s="79"/>
      <c r="M70" s="79" t="s">
        <v>10</v>
      </c>
      <c r="N70" s="79"/>
      <c r="O70" s="79"/>
      <c r="P70" s="79" t="s">
        <v>11</v>
      </c>
      <c r="Q70" s="79"/>
      <c r="R70" s="10" t="s">
        <v>9</v>
      </c>
      <c r="S70" s="10" t="s">
        <v>12</v>
      </c>
      <c r="T70" s="10" t="s">
        <v>13</v>
      </c>
      <c r="U70" s="80">
        <f ca="1">ROUNDDOWN(SUM(D72, G72, J72, M72, P72, R72, S71, T71), -1)</f>
        <v>1538390</v>
      </c>
      <c r="V70" s="80"/>
      <c r="W70" s="80"/>
    </row>
    <row r="71" spans="1:23">
      <c r="A71" s="8" t="s">
        <v>1</v>
      </c>
      <c r="B71" s="17">
        <v>46145</v>
      </c>
      <c r="C71" s="10">
        <v>141</v>
      </c>
      <c r="D71" s="11">
        <v>10320</v>
      </c>
      <c r="E71" s="12"/>
      <c r="F71" s="12"/>
      <c r="G71" s="13"/>
      <c r="H71" s="13">
        <f>G71*365/84</f>
        <v>0</v>
      </c>
      <c r="I71" s="11">
        <f>B69 * 1.5</f>
        <v>15480</v>
      </c>
      <c r="J71" s="58"/>
      <c r="K71" s="10">
        <f>J71*365/84</f>
        <v>0</v>
      </c>
      <c r="L71" s="11">
        <f>B69 * 1.5</f>
        <v>15480</v>
      </c>
      <c r="M71" s="10"/>
      <c r="N71" s="10">
        <f>M71*365/84</f>
        <v>0</v>
      </c>
      <c r="O71" s="15">
        <f>B69*0.5</f>
        <v>5160</v>
      </c>
      <c r="P71" s="54">
        <f>B69*4.5</f>
        <v>46440</v>
      </c>
      <c r="Q71" s="76">
        <f ca="1">IF(DATEDIF(B71, TODAY(), "m") &lt; 1, 0,
  IF(DATEDIF(B71, TODAY(), "y") &lt; 1, 4.5,
    MIN(25, 15 + INT((DATEDIF(B71, TODAY(), "y") - 1) / 2)) * 4.5 / 12
  )
)</f>
        <v>4.5</v>
      </c>
      <c r="R71" s="16"/>
      <c r="S71" s="81">
        <v>36830</v>
      </c>
      <c r="T71" s="83"/>
      <c r="U71" s="80"/>
      <c r="V71" s="80"/>
      <c r="W71" s="80"/>
    </row>
    <row r="72" spans="1:23">
      <c r="A72" s="75">
        <v>1455120</v>
      </c>
      <c r="B72" s="4" t="s">
        <v>110</v>
      </c>
      <c r="C72" s="10">
        <f>SUM(C71, H71*1.5, K71*1.5)</f>
        <v>141</v>
      </c>
      <c r="D72" s="80">
        <f>(D71 * C71)  + F71</f>
        <v>1455120</v>
      </c>
      <c r="E72" s="79"/>
      <c r="F72" s="79"/>
      <c r="G72" s="80">
        <f>H71 * I71</f>
        <v>0</v>
      </c>
      <c r="H72" s="79"/>
      <c r="I72" s="79"/>
      <c r="J72" s="80">
        <f>K71 * L71</f>
        <v>0</v>
      </c>
      <c r="K72" s="79"/>
      <c r="L72" s="79"/>
      <c r="M72" s="85">
        <f>N71*O71</f>
        <v>0</v>
      </c>
      <c r="N72" s="79"/>
      <c r="O72" s="79"/>
      <c r="P72" s="80">
        <f ca="1">B69*Q71</f>
        <v>46440</v>
      </c>
      <c r="Q72" s="80"/>
      <c r="R72" s="15">
        <f>B69*0.5*R71</f>
        <v>0</v>
      </c>
      <c r="S72" s="82"/>
      <c r="T72" s="84"/>
      <c r="U72" s="10" t="s">
        <v>19</v>
      </c>
      <c r="V72" s="87">
        <f>D72+G72+J72+M72</f>
        <v>1455120</v>
      </c>
      <c r="W72" s="88"/>
    </row>
    <row r="75" spans="1:23">
      <c r="A75" s="2" t="s">
        <v>16</v>
      </c>
      <c r="B75" s="3">
        <v>9288</v>
      </c>
      <c r="C75" s="79" t="s">
        <v>3</v>
      </c>
      <c r="D75" s="79"/>
      <c r="E75" s="79"/>
      <c r="F75" s="79"/>
      <c r="G75" s="79" t="s">
        <v>14</v>
      </c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 t="s">
        <v>15</v>
      </c>
      <c r="S75" s="79"/>
      <c r="T75" s="79"/>
      <c r="U75" s="79" t="s">
        <v>18</v>
      </c>
      <c r="V75" s="79"/>
      <c r="W75" s="79"/>
    </row>
    <row r="76" spans="1:23">
      <c r="A76" s="8" t="s">
        <v>0</v>
      </c>
      <c r="B76" s="4" t="s">
        <v>116</v>
      </c>
      <c r="C76" s="79" t="s">
        <v>4</v>
      </c>
      <c r="D76" s="79"/>
      <c r="E76" s="10" t="s">
        <v>5</v>
      </c>
      <c r="F76" s="10" t="s">
        <v>6</v>
      </c>
      <c r="G76" s="79" t="s">
        <v>7</v>
      </c>
      <c r="H76" s="79"/>
      <c r="I76" s="79"/>
      <c r="J76" s="79" t="s">
        <v>8</v>
      </c>
      <c r="K76" s="79"/>
      <c r="L76" s="79"/>
      <c r="M76" s="79" t="s">
        <v>10</v>
      </c>
      <c r="N76" s="79"/>
      <c r="O76" s="79"/>
      <c r="P76" s="79" t="s">
        <v>11</v>
      </c>
      <c r="Q76" s="79"/>
      <c r="R76" s="10" t="s">
        <v>9</v>
      </c>
      <c r="S76" s="10" t="s">
        <v>12</v>
      </c>
      <c r="T76" s="10" t="s">
        <v>13</v>
      </c>
      <c r="U76" s="80">
        <f ca="1">ROUNDDOWN(SUM(D78, G78, J78, M78, P78, R78, S77, T77), -1)</f>
        <v>3100000</v>
      </c>
      <c r="V76" s="80"/>
      <c r="W76" s="80"/>
    </row>
    <row r="77" spans="1:23">
      <c r="A77" s="8" t="s">
        <v>1</v>
      </c>
      <c r="B77" s="17">
        <v>46132</v>
      </c>
      <c r="C77" s="10">
        <v>209</v>
      </c>
      <c r="D77" s="11">
        <v>9288</v>
      </c>
      <c r="E77" s="21"/>
      <c r="F77" s="21"/>
      <c r="G77" s="13">
        <v>7.5</v>
      </c>
      <c r="H77" s="13">
        <f>G77*365/84</f>
        <v>32.589285714285715</v>
      </c>
      <c r="I77" s="11">
        <f>B75 * 1.5</f>
        <v>13932</v>
      </c>
      <c r="J77" s="58">
        <v>9.5</v>
      </c>
      <c r="K77" s="10">
        <f>J77*365/84</f>
        <v>41.279761904761905</v>
      </c>
      <c r="L77" s="11">
        <f>B75 * 1.5</f>
        <v>13932</v>
      </c>
      <c r="M77" s="10"/>
      <c r="N77" s="10">
        <v>0</v>
      </c>
      <c r="O77" s="15">
        <f>B75*0.5</f>
        <v>4644</v>
      </c>
      <c r="P77" s="54">
        <f>B75*8</f>
        <v>74304</v>
      </c>
      <c r="Q77" s="10">
        <f ca="1">IF(DATEDIF(B77, TODAY(), "m") &lt; 1, 0,
  IF(DATEDIF(B77, TODAY(), "y") &lt; 1, 8,
    MIN(25, 15 + INT((DATEDIF(B77, TODAY(), "y") - 1) / 2)) * 8 / 12
  )
)</f>
        <v>8</v>
      </c>
      <c r="R77" s="22"/>
      <c r="S77" s="89">
        <v>55370</v>
      </c>
      <c r="T77" s="91"/>
      <c r="U77" s="80"/>
      <c r="V77" s="80"/>
      <c r="W77" s="80"/>
    </row>
    <row r="78" spans="1:23">
      <c r="A78" s="18">
        <f ca="1">U76/C78</f>
        <v>9693.4502205594945</v>
      </c>
      <c r="B78" s="4"/>
      <c r="C78" s="10">
        <f>SUM(C77, H77*1.5, K77*1.5)</f>
        <v>319.80357142857144</v>
      </c>
      <c r="D78" s="80">
        <f>(D77 * 209) +  F77</f>
        <v>1941192</v>
      </c>
      <c r="E78" s="79"/>
      <c r="F78" s="79"/>
      <c r="G78" s="80">
        <f>H77 * I77</f>
        <v>454033.92857142858</v>
      </c>
      <c r="H78" s="79"/>
      <c r="I78" s="79"/>
      <c r="J78" s="80">
        <f>K77 * L77</f>
        <v>575109.64285714284</v>
      </c>
      <c r="K78" s="79"/>
      <c r="L78" s="79"/>
      <c r="M78" s="85">
        <f>N77*O77</f>
        <v>0</v>
      </c>
      <c r="N78" s="79"/>
      <c r="O78" s="79"/>
      <c r="P78" s="86">
        <f ca="1">B75*Q77</f>
        <v>74304</v>
      </c>
      <c r="Q78" s="86"/>
      <c r="R78" s="15">
        <f>B75*0.5*R77</f>
        <v>0</v>
      </c>
      <c r="S78" s="90"/>
      <c r="T78" s="92"/>
      <c r="U78" s="10" t="s">
        <v>19</v>
      </c>
      <c r="V78" s="87">
        <f>D78+G78+J78+M78</f>
        <v>2970335.5714285714</v>
      </c>
      <c r="W78" s="88"/>
    </row>
    <row r="81" spans="1:23">
      <c r="A81" s="2" t="s">
        <v>16</v>
      </c>
      <c r="B81" s="20">
        <v>9288</v>
      </c>
      <c r="C81" s="79" t="s">
        <v>3</v>
      </c>
      <c r="D81" s="79"/>
      <c r="E81" s="79"/>
      <c r="F81" s="79"/>
      <c r="G81" s="79" t="s">
        <v>14</v>
      </c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 t="s">
        <v>15</v>
      </c>
      <c r="S81" s="79"/>
      <c r="T81" s="79"/>
      <c r="U81" s="79" t="s">
        <v>18</v>
      </c>
      <c r="V81" s="79"/>
      <c r="W81" s="79"/>
    </row>
    <row r="82" spans="1:23">
      <c r="A82" s="9" t="s">
        <v>20</v>
      </c>
      <c r="B82" s="2" t="s">
        <v>116</v>
      </c>
      <c r="C82" s="79" t="s">
        <v>4</v>
      </c>
      <c r="D82" s="79"/>
      <c r="E82" s="10" t="s">
        <v>5</v>
      </c>
      <c r="F82" s="10" t="s">
        <v>6</v>
      </c>
      <c r="G82" s="79" t="s">
        <v>7</v>
      </c>
      <c r="H82" s="79"/>
      <c r="I82" s="79"/>
      <c r="J82" s="79" t="s">
        <v>8</v>
      </c>
      <c r="K82" s="79"/>
      <c r="L82" s="79"/>
      <c r="M82" s="79" t="s">
        <v>10</v>
      </c>
      <c r="N82" s="79"/>
      <c r="O82" s="79"/>
      <c r="P82" s="79" t="s">
        <v>11</v>
      </c>
      <c r="Q82" s="79"/>
      <c r="R82" s="10" t="s">
        <v>9</v>
      </c>
      <c r="S82" s="10" t="s">
        <v>12</v>
      </c>
      <c r="T82" s="10" t="s">
        <v>13</v>
      </c>
      <c r="U82" s="80">
        <f ca="1">ROUNDDOWN(SUM(D84, G84, J84, M84, P84, R84, S83, T83), -1)</f>
        <v>2800000</v>
      </c>
      <c r="V82" s="80"/>
      <c r="W82" s="80"/>
    </row>
    <row r="83" spans="1:23">
      <c r="A83" s="9" t="s">
        <v>21</v>
      </c>
      <c r="B83" s="19">
        <v>46129</v>
      </c>
      <c r="C83" s="10">
        <v>209</v>
      </c>
      <c r="D83" s="11">
        <v>9288</v>
      </c>
      <c r="E83" s="21"/>
      <c r="F83" s="21"/>
      <c r="G83" s="13">
        <v>7.5</v>
      </c>
      <c r="H83" s="13">
        <f>G83*365/84</f>
        <v>32.589285714285715</v>
      </c>
      <c r="I83" s="11">
        <f>B81 * 1.5</f>
        <v>13932</v>
      </c>
      <c r="J83" s="58">
        <v>4.75</v>
      </c>
      <c r="K83" s="10">
        <f>J83*365/84</f>
        <v>20.639880952380953</v>
      </c>
      <c r="L83" s="11">
        <f>B81 * 1.5</f>
        <v>13932</v>
      </c>
      <c r="M83" s="10"/>
      <c r="N83" s="10">
        <v>0</v>
      </c>
      <c r="O83" s="15">
        <f>B81*0.5</f>
        <v>4644</v>
      </c>
      <c r="P83" s="54">
        <f>B81*8</f>
        <v>74304</v>
      </c>
      <c r="Q83" s="10">
        <f ca="1">IF(DATEDIF(B83, TODAY(), "m") &lt; 1, 0,
  IF(DATEDIF(B83, TODAY(), "y") &lt; 1, 8,
    MIN(25, 15 + INT((DATEDIF(B83, TODAY(), "y") - 1) / 2)) * 8 / 12
  )
)</f>
        <v>8</v>
      </c>
      <c r="R83" s="22"/>
      <c r="S83" s="89">
        <v>42920</v>
      </c>
      <c r="T83" s="91"/>
      <c r="U83" s="80"/>
      <c r="V83" s="80"/>
      <c r="W83" s="80"/>
    </row>
    <row r="84" spans="1:23">
      <c r="A84" s="18">
        <v>2980860</v>
      </c>
      <c r="B84" s="2" t="s">
        <v>110</v>
      </c>
      <c r="C84" s="10">
        <f>SUM(C83, H83*1.5, K83*1.5)</f>
        <v>288.84375</v>
      </c>
      <c r="D84" s="80">
        <f>(D83 * 209) +  F83</f>
        <v>1941192</v>
      </c>
      <c r="E84" s="79"/>
      <c r="F84" s="79"/>
      <c r="G84" s="80">
        <f>H83 * I83</f>
        <v>454033.92857142858</v>
      </c>
      <c r="H84" s="79"/>
      <c r="I84" s="79"/>
      <c r="J84" s="80">
        <f>K83 * L83</f>
        <v>287554.82142857142</v>
      </c>
      <c r="K84" s="79"/>
      <c r="L84" s="79"/>
      <c r="M84" s="85">
        <f>N83*O83</f>
        <v>0</v>
      </c>
      <c r="N84" s="79"/>
      <c r="O84" s="79"/>
      <c r="P84" s="86">
        <f ca="1">B81*Q83</f>
        <v>74304</v>
      </c>
      <c r="Q84" s="86"/>
      <c r="R84" s="15">
        <f>B81*0.5*R83</f>
        <v>0</v>
      </c>
      <c r="S84" s="90"/>
      <c r="T84" s="92"/>
      <c r="U84" s="10" t="s">
        <v>19</v>
      </c>
      <c r="V84" s="87">
        <f>D84+G84+J84+M84</f>
        <v>2682780.75</v>
      </c>
      <c r="W84" s="88"/>
    </row>
    <row r="87" spans="1:23">
      <c r="A87" s="2" t="s">
        <v>16</v>
      </c>
      <c r="B87" s="3">
        <v>10320</v>
      </c>
      <c r="C87" s="79" t="s">
        <v>3</v>
      </c>
      <c r="D87" s="79"/>
      <c r="E87" s="79"/>
      <c r="F87" s="79"/>
      <c r="G87" s="79" t="s">
        <v>14</v>
      </c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 t="s">
        <v>15</v>
      </c>
      <c r="S87" s="79"/>
      <c r="T87" s="79"/>
      <c r="U87" s="79" t="s">
        <v>18</v>
      </c>
      <c r="V87" s="79"/>
      <c r="W87" s="79"/>
    </row>
    <row r="88" spans="1:23">
      <c r="A88" s="77" t="s">
        <v>141</v>
      </c>
      <c r="B88" s="4" t="s">
        <v>140</v>
      </c>
      <c r="C88" s="79" t="s">
        <v>4</v>
      </c>
      <c r="D88" s="79"/>
      <c r="E88" s="10" t="s">
        <v>5</v>
      </c>
      <c r="F88" s="10" t="s">
        <v>6</v>
      </c>
      <c r="G88" s="79" t="s">
        <v>7</v>
      </c>
      <c r="H88" s="79"/>
      <c r="I88" s="79"/>
      <c r="J88" s="79" t="s">
        <v>8</v>
      </c>
      <c r="K88" s="79"/>
      <c r="L88" s="79"/>
      <c r="M88" s="79" t="s">
        <v>10</v>
      </c>
      <c r="N88" s="79"/>
      <c r="O88" s="79"/>
      <c r="P88" s="79" t="s">
        <v>11</v>
      </c>
      <c r="Q88" s="79"/>
      <c r="R88" s="10" t="s">
        <v>9</v>
      </c>
      <c r="S88" s="10" t="s">
        <v>12</v>
      </c>
      <c r="T88" s="10" t="s">
        <v>13</v>
      </c>
      <c r="U88" s="80">
        <f>ROUNDDOWN(SUM(D90, G90, J90, M90, P90, R90, S89, T89), -1)</f>
        <v>1501560</v>
      </c>
      <c r="V88" s="80"/>
      <c r="W88" s="80"/>
    </row>
    <row r="89" spans="1:23">
      <c r="A89" s="8" t="s">
        <v>1</v>
      </c>
      <c r="B89" s="17">
        <v>46145</v>
      </c>
      <c r="C89" s="10">
        <v>141</v>
      </c>
      <c r="D89" s="11">
        <v>10320</v>
      </c>
      <c r="E89" s="12"/>
      <c r="F89" s="12"/>
      <c r="G89" s="13"/>
      <c r="H89" s="13">
        <f>G89*365/84</f>
        <v>0</v>
      </c>
      <c r="I89" s="11">
        <f>B87 * 1.5</f>
        <v>15480</v>
      </c>
      <c r="J89" s="58"/>
      <c r="K89" s="10">
        <f>J89*365/84</f>
        <v>0</v>
      </c>
      <c r="L89" s="11">
        <f>B87 * 1.5</f>
        <v>15480</v>
      </c>
      <c r="M89" s="10"/>
      <c r="N89" s="10">
        <f>M89*365/84</f>
        <v>0</v>
      </c>
      <c r="O89" s="15">
        <f>B87*0.5</f>
        <v>5160</v>
      </c>
      <c r="P89" s="54">
        <f>B87*6</f>
        <v>61920</v>
      </c>
      <c r="Q89" s="76">
        <v>4.5</v>
      </c>
      <c r="R89" s="16"/>
      <c r="S89" s="81"/>
      <c r="T89" s="83"/>
      <c r="U89" s="80"/>
      <c r="V89" s="80"/>
      <c r="W89" s="80"/>
    </row>
    <row r="90" spans="1:23">
      <c r="A90" s="75">
        <v>1651200</v>
      </c>
      <c r="B90" s="4" t="s">
        <v>110</v>
      </c>
      <c r="C90" s="10">
        <f>SUM(C89, H89*1.5, K89*1.5)</f>
        <v>141</v>
      </c>
      <c r="D90" s="80">
        <f>(D89 * C89)  + F89</f>
        <v>1455120</v>
      </c>
      <c r="E90" s="79"/>
      <c r="F90" s="79"/>
      <c r="G90" s="80">
        <f>H89 * I89</f>
        <v>0</v>
      </c>
      <c r="H90" s="79"/>
      <c r="I90" s="79"/>
      <c r="J90" s="80">
        <f>K89 * L89</f>
        <v>0</v>
      </c>
      <c r="K90" s="79"/>
      <c r="L90" s="79"/>
      <c r="M90" s="85">
        <f>N89*O89</f>
        <v>0</v>
      </c>
      <c r="N90" s="79"/>
      <c r="O90" s="79"/>
      <c r="P90" s="80">
        <f>B87*Q89</f>
        <v>46440</v>
      </c>
      <c r="Q90" s="80"/>
      <c r="R90" s="15">
        <f>B87*0.5*R89</f>
        <v>0</v>
      </c>
      <c r="S90" s="82"/>
      <c r="T90" s="84"/>
      <c r="U90" s="10" t="s">
        <v>19</v>
      </c>
      <c r="V90" s="87">
        <f>D90+G90+J90+M90</f>
        <v>1455120</v>
      </c>
      <c r="W90" s="88"/>
    </row>
    <row r="93" spans="1:23">
      <c r="A93" s="2" t="s">
        <v>16</v>
      </c>
      <c r="B93" s="3">
        <f>( (D95 * 209) + F95 ) / 209</f>
        <v>10320</v>
      </c>
      <c r="C93" s="79" t="s">
        <v>3</v>
      </c>
      <c r="D93" s="79"/>
      <c r="E93" s="79"/>
      <c r="F93" s="79"/>
      <c r="G93" s="79" t="s">
        <v>14</v>
      </c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 t="s">
        <v>15</v>
      </c>
      <c r="S93" s="79"/>
      <c r="T93" s="79"/>
      <c r="U93" s="79" t="s">
        <v>18</v>
      </c>
      <c r="V93" s="79"/>
      <c r="W93" s="79"/>
    </row>
    <row r="94" spans="1:23">
      <c r="A94" s="8" t="s">
        <v>0</v>
      </c>
      <c r="B94" s="4" t="s">
        <v>90</v>
      </c>
      <c r="C94" s="79" t="s">
        <v>4</v>
      </c>
      <c r="D94" s="79"/>
      <c r="E94" s="10" t="s">
        <v>5</v>
      </c>
      <c r="F94" s="10" t="s">
        <v>6</v>
      </c>
      <c r="G94" s="79" t="s">
        <v>7</v>
      </c>
      <c r="H94" s="79"/>
      <c r="I94" s="79"/>
      <c r="J94" s="79" t="s">
        <v>8</v>
      </c>
      <c r="K94" s="79"/>
      <c r="L94" s="79"/>
      <c r="M94" s="79" t="s">
        <v>10</v>
      </c>
      <c r="N94" s="79"/>
      <c r="O94" s="79"/>
      <c r="P94" s="79" t="s">
        <v>11</v>
      </c>
      <c r="Q94" s="79"/>
      <c r="R94" s="10" t="s">
        <v>9</v>
      </c>
      <c r="S94" s="10" t="s">
        <v>12</v>
      </c>
      <c r="T94" s="10" t="s">
        <v>13</v>
      </c>
      <c r="U94" s="80">
        <f ca="1">ROUNDDOWN(SUM(D96, G96, J96, M96, P96, R96, S95, T95), -1)</f>
        <v>3400000</v>
      </c>
      <c r="V94" s="80"/>
      <c r="W94" s="80"/>
    </row>
    <row r="95" spans="1:23">
      <c r="A95" s="8" t="s">
        <v>1</v>
      </c>
      <c r="B95" s="17">
        <v>46132</v>
      </c>
      <c r="C95" s="10">
        <v>209</v>
      </c>
      <c r="D95" s="11">
        <v>10320</v>
      </c>
      <c r="E95" s="21"/>
      <c r="F95" s="21"/>
      <c r="G95" s="13">
        <v>7.5</v>
      </c>
      <c r="H95" s="13">
        <f>G95*365/84</f>
        <v>32.589285714285715</v>
      </c>
      <c r="I95" s="11">
        <f>B93 * 1.5</f>
        <v>15480</v>
      </c>
      <c r="J95" s="58">
        <v>9.5</v>
      </c>
      <c r="K95" s="10">
        <f>J95*365/84</f>
        <v>41.279761904761905</v>
      </c>
      <c r="L95" s="11">
        <f>B93 * 1.5</f>
        <v>15480</v>
      </c>
      <c r="M95" s="10"/>
      <c r="N95" s="10">
        <v>0</v>
      </c>
      <c r="O95" s="15">
        <f>B93*0.5</f>
        <v>5160</v>
      </c>
      <c r="P95" s="54">
        <f>B93*8</f>
        <v>82560</v>
      </c>
      <c r="Q95" s="10">
        <f ca="1">IF(DATEDIF(B95, TODAY(), "m") &lt; 1, 0,
  IF(DATEDIF(B95, TODAY(), "y") &lt; 1, 8,
    MIN(25, 15 + INT((DATEDIF(B95, TODAY(), "y") - 1) / 2)) * 8 / 12
  )
)</f>
        <v>8</v>
      </c>
      <c r="R95" s="22"/>
      <c r="S95" s="89">
        <v>17070</v>
      </c>
      <c r="T95" s="91"/>
      <c r="U95" s="80"/>
      <c r="V95" s="80"/>
      <c r="W95" s="80"/>
    </row>
    <row r="96" spans="1:23">
      <c r="A96" s="18">
        <f ca="1">U94/C96</f>
        <v>10631.526048355576</v>
      </c>
      <c r="B96" s="4" t="s">
        <v>91</v>
      </c>
      <c r="C96" s="10">
        <f>SUM(C95, H95*1.5, K95*1.5)</f>
        <v>319.80357142857144</v>
      </c>
      <c r="D96" s="80">
        <f>(D95 * 209) +  F95</f>
        <v>2156880</v>
      </c>
      <c r="E96" s="79"/>
      <c r="F96" s="79"/>
      <c r="G96" s="80">
        <f>H95 * I95</f>
        <v>504482.1428571429</v>
      </c>
      <c r="H96" s="79"/>
      <c r="I96" s="79"/>
      <c r="J96" s="80">
        <f>K95 * L95</f>
        <v>639010.71428571432</v>
      </c>
      <c r="K96" s="79"/>
      <c r="L96" s="79"/>
      <c r="M96" s="85">
        <f>N95*O95</f>
        <v>0</v>
      </c>
      <c r="N96" s="79"/>
      <c r="O96" s="79"/>
      <c r="P96" s="86">
        <f ca="1">B93*Q95</f>
        <v>82560</v>
      </c>
      <c r="Q96" s="86"/>
      <c r="R96" s="15">
        <f>B93*0.5*R95</f>
        <v>0</v>
      </c>
      <c r="S96" s="90"/>
      <c r="T96" s="92"/>
      <c r="U96" s="10" t="s">
        <v>19</v>
      </c>
      <c r="V96" s="87">
        <f>D96+G96+J96+M96</f>
        <v>3300372.8571428573</v>
      </c>
      <c r="W96" s="88"/>
    </row>
    <row r="99" spans="1:23">
      <c r="A99" s="2" t="s">
        <v>16</v>
      </c>
      <c r="B99" s="20">
        <v>10320</v>
      </c>
      <c r="C99" s="79" t="s">
        <v>3</v>
      </c>
      <c r="D99" s="79"/>
      <c r="E99" s="79"/>
      <c r="F99" s="79"/>
      <c r="G99" s="79" t="s">
        <v>14</v>
      </c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 t="s">
        <v>15</v>
      </c>
      <c r="S99" s="79"/>
      <c r="T99" s="79"/>
      <c r="U99" s="79" t="s">
        <v>18</v>
      </c>
      <c r="V99" s="79"/>
      <c r="W99" s="79"/>
    </row>
    <row r="100" spans="1:23">
      <c r="A100" s="78" t="s">
        <v>145</v>
      </c>
      <c r="B100" s="2"/>
      <c r="C100" s="79" t="s">
        <v>4</v>
      </c>
      <c r="D100" s="79"/>
      <c r="E100" s="10" t="s">
        <v>5</v>
      </c>
      <c r="F100" s="10" t="s">
        <v>6</v>
      </c>
      <c r="G100" s="79" t="s">
        <v>7</v>
      </c>
      <c r="H100" s="79"/>
      <c r="I100" s="79"/>
      <c r="J100" s="79" t="s">
        <v>8</v>
      </c>
      <c r="K100" s="79"/>
      <c r="L100" s="79"/>
      <c r="M100" s="79" t="s">
        <v>10</v>
      </c>
      <c r="N100" s="79"/>
      <c r="O100" s="79"/>
      <c r="P100" s="79" t="s">
        <v>11</v>
      </c>
      <c r="Q100" s="79"/>
      <c r="R100" s="10" t="s">
        <v>9</v>
      </c>
      <c r="S100" s="10" t="s">
        <v>12</v>
      </c>
      <c r="T100" s="10" t="s">
        <v>13</v>
      </c>
      <c r="U100" s="80">
        <f ca="1">ROUNDDOWN(SUM(D102, G102, J102, M102, P102, R102, S101, T101), -1)</f>
        <v>3000000</v>
      </c>
      <c r="V100" s="80"/>
      <c r="W100" s="80"/>
    </row>
    <row r="101" spans="1:23">
      <c r="A101" s="7" t="s">
        <v>23</v>
      </c>
      <c r="B101" s="19">
        <v>46175</v>
      </c>
      <c r="C101" s="10">
        <v>209</v>
      </c>
      <c r="D101" s="11">
        <v>10320</v>
      </c>
      <c r="E101" s="12"/>
      <c r="F101" s="12"/>
      <c r="G101" s="13">
        <v>7.5</v>
      </c>
      <c r="H101" s="13">
        <v>24</v>
      </c>
      <c r="I101" s="11">
        <f>B99 * 1.5</f>
        <v>15480</v>
      </c>
      <c r="J101" s="14">
        <v>4.75</v>
      </c>
      <c r="K101" s="10">
        <f>J101*365/84</f>
        <v>20.639880952380953</v>
      </c>
      <c r="L101" s="11">
        <f>B99 * 1.5</f>
        <v>15480</v>
      </c>
      <c r="M101" s="10"/>
      <c r="N101" s="10">
        <v>0</v>
      </c>
      <c r="O101" s="15">
        <f>B99*0.5</f>
        <v>5160</v>
      </c>
      <c r="P101" s="54">
        <f>B99*8</f>
        <v>82560</v>
      </c>
      <c r="Q101" s="76">
        <f ca="1">IF(DATEDIF(B101, TODAY(), "m") &lt; 1, 0,
  IF(DATEDIF(B101, TODAY(), "y") &lt; 1, 8,
    MIN(25, 15 + INT((DATEDIF(B101, TODAY(), "y") - 1) / 2)) * 8 / 12
  )
)</f>
        <v>8</v>
      </c>
      <c r="R101" s="16"/>
      <c r="S101" s="81">
        <v>69540</v>
      </c>
      <c r="T101" s="83"/>
      <c r="U101" s="80"/>
      <c r="V101" s="80"/>
      <c r="W101" s="80"/>
    </row>
    <row r="102" spans="1:23">
      <c r="A102" s="18">
        <v>2661362</v>
      </c>
      <c r="B102" s="2"/>
      <c r="C102" s="10">
        <f>SUM(C101, H101*1.5, K101*1.5)</f>
        <v>275.95982142857144</v>
      </c>
      <c r="D102" s="80">
        <f>(D101 * 209)  + F101</f>
        <v>2156880</v>
      </c>
      <c r="E102" s="79"/>
      <c r="F102" s="79"/>
      <c r="G102" s="80">
        <f>H101 * I101</f>
        <v>371520</v>
      </c>
      <c r="H102" s="79"/>
      <c r="I102" s="79"/>
      <c r="J102" s="80">
        <f>K101 * L101</f>
        <v>319505.35714285716</v>
      </c>
      <c r="K102" s="79"/>
      <c r="L102" s="79"/>
      <c r="M102" s="85">
        <f>N101*O101</f>
        <v>0</v>
      </c>
      <c r="N102" s="79"/>
      <c r="O102" s="79"/>
      <c r="P102" s="86">
        <f ca="1">B99*Q101</f>
        <v>82560</v>
      </c>
      <c r="Q102" s="86"/>
      <c r="R102" s="15">
        <f>B99*0.5*R101</f>
        <v>0</v>
      </c>
      <c r="S102" s="82"/>
      <c r="T102" s="84"/>
      <c r="U102" s="10" t="s">
        <v>19</v>
      </c>
      <c r="V102" s="87">
        <f>D102+G102+J102+M102</f>
        <v>2847905.3571428573</v>
      </c>
      <c r="W102" s="88"/>
    </row>
    <row r="105" spans="1:23">
      <c r="A105" s="2" t="s">
        <v>16</v>
      </c>
      <c r="B105" s="3">
        <v>10320</v>
      </c>
      <c r="C105" s="79" t="s">
        <v>3</v>
      </c>
      <c r="D105" s="79"/>
      <c r="E105" s="79"/>
      <c r="F105" s="79"/>
      <c r="G105" s="79" t="s">
        <v>14</v>
      </c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 t="s">
        <v>15</v>
      </c>
      <c r="S105" s="79"/>
      <c r="T105" s="79"/>
      <c r="U105" s="79" t="s">
        <v>18</v>
      </c>
      <c r="V105" s="79"/>
      <c r="W105" s="79"/>
    </row>
    <row r="106" spans="1:23">
      <c r="A106" s="77" t="s">
        <v>147</v>
      </c>
      <c r="B106" s="4"/>
      <c r="C106" s="79" t="s">
        <v>4</v>
      </c>
      <c r="D106" s="79"/>
      <c r="E106" s="10" t="s">
        <v>5</v>
      </c>
      <c r="F106" s="10" t="s">
        <v>6</v>
      </c>
      <c r="G106" s="79" t="s">
        <v>7</v>
      </c>
      <c r="H106" s="79"/>
      <c r="I106" s="79"/>
      <c r="J106" s="79" t="s">
        <v>8</v>
      </c>
      <c r="K106" s="79"/>
      <c r="L106" s="79"/>
      <c r="M106" s="79" t="s">
        <v>10</v>
      </c>
      <c r="N106" s="79"/>
      <c r="O106" s="79"/>
      <c r="P106" s="79" t="s">
        <v>11</v>
      </c>
      <c r="Q106" s="79"/>
      <c r="R106" s="10" t="s">
        <v>9</v>
      </c>
      <c r="S106" s="10" t="s">
        <v>12</v>
      </c>
      <c r="T106" s="10" t="s">
        <v>13</v>
      </c>
      <c r="U106" s="80">
        <f>ROUNDDOWN(SUM(D108, G108, J108, M108, P108, R108, S107, T107), -1)</f>
        <v>1007230</v>
      </c>
      <c r="V106" s="80"/>
      <c r="W106" s="80"/>
    </row>
    <row r="107" spans="1:23">
      <c r="A107" s="77" t="s">
        <v>148</v>
      </c>
      <c r="B107" s="17">
        <v>46145</v>
      </c>
      <c r="C107" s="10">
        <v>94</v>
      </c>
      <c r="D107" s="11">
        <v>10320</v>
      </c>
      <c r="E107" s="12"/>
      <c r="F107" s="12"/>
      <c r="G107" s="13"/>
      <c r="H107" s="13">
        <f>G107*365/84</f>
        <v>0</v>
      </c>
      <c r="I107" s="11">
        <f>B105 * 1.5</f>
        <v>15480</v>
      </c>
      <c r="J107" s="58"/>
      <c r="K107" s="10">
        <f>J107*365/84</f>
        <v>0</v>
      </c>
      <c r="L107" s="11">
        <f>B105 * 1.5</f>
        <v>15480</v>
      </c>
      <c r="M107" s="10"/>
      <c r="N107" s="10">
        <f>M107*365/84</f>
        <v>0</v>
      </c>
      <c r="O107" s="15">
        <f>B105*0.5</f>
        <v>5160</v>
      </c>
      <c r="P107" s="54">
        <f>B105*5</f>
        <v>51600</v>
      </c>
      <c r="Q107" s="76">
        <v>3.6</v>
      </c>
      <c r="R107" s="16"/>
      <c r="S107" s="81"/>
      <c r="T107" s="83"/>
      <c r="U107" s="80"/>
      <c r="V107" s="80"/>
      <c r="W107" s="80"/>
    </row>
    <row r="108" spans="1:23">
      <c r="A108" s="75">
        <v>1651200</v>
      </c>
      <c r="B108" s="4" t="s">
        <v>110</v>
      </c>
      <c r="C108" s="10">
        <f>SUM(C107, H107*1.5, K107*1.5)</f>
        <v>94</v>
      </c>
      <c r="D108" s="80">
        <f>(D107 * C107)  + F107</f>
        <v>970080</v>
      </c>
      <c r="E108" s="79"/>
      <c r="F108" s="79"/>
      <c r="G108" s="80">
        <f>H107 * I107</f>
        <v>0</v>
      </c>
      <c r="H108" s="79"/>
      <c r="I108" s="79"/>
      <c r="J108" s="80">
        <f>K107 * L107</f>
        <v>0</v>
      </c>
      <c r="K108" s="79"/>
      <c r="L108" s="79"/>
      <c r="M108" s="85">
        <f>N107*O107</f>
        <v>0</v>
      </c>
      <c r="N108" s="79"/>
      <c r="O108" s="79"/>
      <c r="P108" s="80">
        <f>B105*Q107</f>
        <v>37152</v>
      </c>
      <c r="Q108" s="80"/>
      <c r="R108" s="15">
        <f>B105*0.5*R107</f>
        <v>0</v>
      </c>
      <c r="S108" s="82"/>
      <c r="T108" s="84"/>
      <c r="U108" s="10" t="s">
        <v>19</v>
      </c>
      <c r="V108" s="87">
        <f>D108+G108+J108+M108</f>
        <v>970080</v>
      </c>
      <c r="W108" s="88"/>
    </row>
    <row r="111" spans="1:23">
      <c r="A111" s="2" t="s">
        <v>16</v>
      </c>
      <c r="B111" s="3">
        <v>10320</v>
      </c>
      <c r="C111" s="79" t="s">
        <v>3</v>
      </c>
      <c r="D111" s="79"/>
      <c r="E111" s="79"/>
      <c r="F111" s="79"/>
      <c r="G111" s="79" t="s">
        <v>14</v>
      </c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 t="s">
        <v>15</v>
      </c>
      <c r="S111" s="79"/>
      <c r="T111" s="79"/>
      <c r="U111" s="79" t="s">
        <v>18</v>
      </c>
      <c r="V111" s="79"/>
      <c r="W111" s="79"/>
    </row>
    <row r="112" spans="1:23">
      <c r="A112" s="77" t="s">
        <v>147</v>
      </c>
      <c r="B112" s="4"/>
      <c r="C112" s="79" t="s">
        <v>4</v>
      </c>
      <c r="D112" s="79"/>
      <c r="E112" s="10" t="s">
        <v>5</v>
      </c>
      <c r="F112" s="10" t="s">
        <v>6</v>
      </c>
      <c r="G112" s="79" t="s">
        <v>7</v>
      </c>
      <c r="H112" s="79"/>
      <c r="I112" s="79"/>
      <c r="J112" s="79" t="s">
        <v>8</v>
      </c>
      <c r="K112" s="79"/>
      <c r="L112" s="79"/>
      <c r="M112" s="79" t="s">
        <v>10</v>
      </c>
      <c r="N112" s="79"/>
      <c r="O112" s="79"/>
      <c r="P112" s="79" t="s">
        <v>11</v>
      </c>
      <c r="Q112" s="79"/>
      <c r="R112" s="10" t="s">
        <v>9</v>
      </c>
      <c r="S112" s="10" t="s">
        <v>12</v>
      </c>
      <c r="T112" s="10" t="s">
        <v>13</v>
      </c>
      <c r="U112" s="80">
        <f>ROUNDDOWN(SUM(D114, G114, J114, M114, P114, R114, S113, T113), -1)</f>
        <v>1007230</v>
      </c>
      <c r="V112" s="80"/>
      <c r="W112" s="80"/>
    </row>
    <row r="113" spans="1:23">
      <c r="A113" s="77" t="s">
        <v>148</v>
      </c>
      <c r="B113" s="17">
        <v>46145</v>
      </c>
      <c r="C113" s="10">
        <v>94</v>
      </c>
      <c r="D113" s="11">
        <v>10320</v>
      </c>
      <c r="E113" s="12"/>
      <c r="F113" s="12"/>
      <c r="G113" s="13"/>
      <c r="H113" s="13">
        <f>G113*365/84</f>
        <v>0</v>
      </c>
      <c r="I113" s="11">
        <f>B111 * 1.5</f>
        <v>15480</v>
      </c>
      <c r="J113" s="58"/>
      <c r="K113" s="10">
        <f>J113*365/84</f>
        <v>0</v>
      </c>
      <c r="L113" s="11">
        <f>B111 * 1.5</f>
        <v>15480</v>
      </c>
      <c r="M113" s="10"/>
      <c r="N113" s="10">
        <f>M113*365/84</f>
        <v>0</v>
      </c>
      <c r="O113" s="15">
        <f>B111*0.5</f>
        <v>5160</v>
      </c>
      <c r="P113" s="54">
        <f>B111*5</f>
        <v>51600</v>
      </c>
      <c r="Q113" s="76">
        <v>3.6</v>
      </c>
      <c r="R113" s="16"/>
      <c r="S113" s="81"/>
      <c r="T113" s="83"/>
      <c r="U113" s="80"/>
      <c r="V113" s="80"/>
      <c r="W113" s="80"/>
    </row>
    <row r="114" spans="1:23">
      <c r="A114" s="75">
        <v>1651200</v>
      </c>
      <c r="B114" s="4" t="s">
        <v>110</v>
      </c>
      <c r="C114" s="10">
        <f>SUM(C113, H113*1.5, K113*1.5)</f>
        <v>94</v>
      </c>
      <c r="D114" s="80">
        <f>(D113 * C113)  + F113</f>
        <v>970080</v>
      </c>
      <c r="E114" s="79"/>
      <c r="F114" s="79"/>
      <c r="G114" s="80">
        <f>H113 * I113</f>
        <v>0</v>
      </c>
      <c r="H114" s="79"/>
      <c r="I114" s="79"/>
      <c r="J114" s="80">
        <f>K113 * L113</f>
        <v>0</v>
      </c>
      <c r="K114" s="79"/>
      <c r="L114" s="79"/>
      <c r="M114" s="85">
        <f>N113*O113</f>
        <v>0</v>
      </c>
      <c r="N114" s="79"/>
      <c r="O114" s="79"/>
      <c r="P114" s="80">
        <f>B111*Q113</f>
        <v>37152</v>
      </c>
      <c r="Q114" s="80"/>
      <c r="R114" s="15">
        <f>B111*0.5*R113</f>
        <v>0</v>
      </c>
      <c r="S114" s="82"/>
      <c r="T114" s="84"/>
      <c r="U114" s="10" t="s">
        <v>19</v>
      </c>
      <c r="V114" s="87">
        <f>D114+G114+J114+M114</f>
        <v>970080</v>
      </c>
      <c r="W114" s="88"/>
    </row>
    <row r="117" spans="1:23">
      <c r="A117" s="2"/>
      <c r="B117" s="20">
        <v>10320</v>
      </c>
      <c r="C117" s="79" t="s">
        <v>3</v>
      </c>
      <c r="D117" s="79"/>
      <c r="E117" s="79"/>
      <c r="F117" s="79"/>
      <c r="G117" s="79" t="s">
        <v>14</v>
      </c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 t="s">
        <v>15</v>
      </c>
      <c r="S117" s="79"/>
      <c r="T117" s="79"/>
      <c r="U117" s="79" t="s">
        <v>18</v>
      </c>
      <c r="V117" s="79"/>
      <c r="W117" s="79"/>
    </row>
    <row r="118" spans="1:23">
      <c r="A118" s="7" t="s">
        <v>22</v>
      </c>
      <c r="B118" s="2"/>
      <c r="C118" s="79" t="s">
        <v>4</v>
      </c>
      <c r="D118" s="79"/>
      <c r="E118" s="10" t="s">
        <v>5</v>
      </c>
      <c r="F118" s="10" t="s">
        <v>6</v>
      </c>
      <c r="G118" s="79" t="s">
        <v>7</v>
      </c>
      <c r="H118" s="79"/>
      <c r="I118" s="79"/>
      <c r="J118" s="79" t="s">
        <v>8</v>
      </c>
      <c r="K118" s="79"/>
      <c r="L118" s="79"/>
      <c r="M118" s="79" t="s">
        <v>10</v>
      </c>
      <c r="N118" s="79"/>
      <c r="O118" s="79"/>
      <c r="P118" s="79" t="s">
        <v>11</v>
      </c>
      <c r="Q118" s="79"/>
      <c r="R118" s="10" t="s">
        <v>9</v>
      </c>
      <c r="S118" s="10" t="s">
        <v>12</v>
      </c>
      <c r="T118" s="10" t="s">
        <v>13</v>
      </c>
      <c r="U118" s="80">
        <f ca="1">ROUNDDOWN(SUM(D120, G120, J120, M120, P120, R120, S119, T119), -1)</f>
        <v>2661360</v>
      </c>
      <c r="V118" s="80"/>
      <c r="W118" s="80"/>
    </row>
    <row r="119" spans="1:23">
      <c r="A119" s="7" t="s">
        <v>23</v>
      </c>
      <c r="B119" s="19">
        <v>46229</v>
      </c>
      <c r="C119" s="10">
        <v>209</v>
      </c>
      <c r="D119" s="11">
        <v>10320</v>
      </c>
      <c r="E119" s="12"/>
      <c r="F119" s="12"/>
      <c r="G119" s="13">
        <v>7.5</v>
      </c>
      <c r="H119" s="13">
        <f>G119*365/84</f>
        <v>32.589285714285715</v>
      </c>
      <c r="I119" s="11">
        <f>B117 * 1.5</f>
        <v>15480</v>
      </c>
      <c r="J119" s="14"/>
      <c r="K119" s="10">
        <f>J119*365/84</f>
        <v>0</v>
      </c>
      <c r="L119" s="11">
        <f>B117 * 1.5</f>
        <v>15480</v>
      </c>
      <c r="M119" s="10"/>
      <c r="N119" s="10">
        <v>0</v>
      </c>
      <c r="O119" s="15">
        <f>B117*0.5</f>
        <v>5160</v>
      </c>
      <c r="P119" s="54">
        <f>B117*8</f>
        <v>82560</v>
      </c>
      <c r="Q119" s="76">
        <f ca="1">IF(DATEDIF(B119, TODAY(), "m") &lt; 1, 0,
  IF(DATEDIF(B119, TODAY(), "y") &lt; 1, 8,
    MIN(25, 15 + INT((DATEDIF(B119, TODAY(), "y") - 1) / 2)) * 8 / 12
  )
)</f>
        <v>0</v>
      </c>
      <c r="R119" s="16"/>
      <c r="S119" s="81"/>
      <c r="T119" s="83"/>
      <c r="U119" s="80"/>
      <c r="V119" s="80"/>
      <c r="W119" s="80"/>
    </row>
    <row r="120" spans="1:23">
      <c r="A120" s="18">
        <v>2661362</v>
      </c>
      <c r="B120" s="2"/>
      <c r="C120" s="10">
        <f>SUM(C119, H119*1.5, K119*1.5)</f>
        <v>257.88392857142856</v>
      </c>
      <c r="D120" s="80">
        <f>(D119 * 209)  + F119</f>
        <v>2156880</v>
      </c>
      <c r="E120" s="79"/>
      <c r="F120" s="79"/>
      <c r="G120" s="80">
        <f>H119 * I119</f>
        <v>504482.1428571429</v>
      </c>
      <c r="H120" s="79"/>
      <c r="I120" s="79"/>
      <c r="J120" s="80">
        <f>K119 * L119</f>
        <v>0</v>
      </c>
      <c r="K120" s="79"/>
      <c r="L120" s="79"/>
      <c r="M120" s="85">
        <f>N119*O119</f>
        <v>0</v>
      </c>
      <c r="N120" s="79"/>
      <c r="O120" s="79"/>
      <c r="P120" s="86">
        <f ca="1">B117*Q119</f>
        <v>0</v>
      </c>
      <c r="Q120" s="86"/>
      <c r="R120" s="15">
        <f>B117*0.5*R119</f>
        <v>0</v>
      </c>
      <c r="S120" s="82"/>
      <c r="T120" s="84"/>
      <c r="U120" s="10" t="s">
        <v>19</v>
      </c>
      <c r="V120" s="87">
        <f>D120+G120+J120+M120</f>
        <v>2661362.1428571427</v>
      </c>
      <c r="W120" s="88"/>
    </row>
    <row r="123" spans="1:23">
      <c r="A123" s="2"/>
      <c r="B123" s="20">
        <v>9288</v>
      </c>
      <c r="C123" s="79" t="s">
        <v>3</v>
      </c>
      <c r="D123" s="79"/>
      <c r="E123" s="79"/>
      <c r="F123" s="79"/>
      <c r="G123" s="79" t="s">
        <v>14</v>
      </c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 t="s">
        <v>15</v>
      </c>
      <c r="S123" s="79"/>
      <c r="T123" s="79"/>
      <c r="U123" s="79" t="s">
        <v>18</v>
      </c>
      <c r="V123" s="79"/>
      <c r="W123" s="79"/>
    </row>
    <row r="124" spans="1:23">
      <c r="A124" s="7" t="s">
        <v>22</v>
      </c>
      <c r="B124" s="2"/>
      <c r="C124" s="79" t="s">
        <v>4</v>
      </c>
      <c r="D124" s="79"/>
      <c r="E124" s="10" t="s">
        <v>5</v>
      </c>
      <c r="F124" s="10" t="s">
        <v>6</v>
      </c>
      <c r="G124" s="79" t="s">
        <v>7</v>
      </c>
      <c r="H124" s="79"/>
      <c r="I124" s="79"/>
      <c r="J124" s="79" t="s">
        <v>8</v>
      </c>
      <c r="K124" s="79"/>
      <c r="L124" s="79"/>
      <c r="M124" s="79" t="s">
        <v>10</v>
      </c>
      <c r="N124" s="79"/>
      <c r="O124" s="79"/>
      <c r="P124" s="79" t="s">
        <v>11</v>
      </c>
      <c r="Q124" s="79"/>
      <c r="R124" s="10" t="s">
        <v>9</v>
      </c>
      <c r="S124" s="10" t="s">
        <v>12</v>
      </c>
      <c r="T124" s="10" t="s">
        <v>13</v>
      </c>
      <c r="U124" s="80">
        <f ca="1">ROUNDDOWN(SUM(D126, G126, J126, M126, P126, R126, S125, T125), -1)</f>
        <v>2469520</v>
      </c>
      <c r="V124" s="80"/>
      <c r="W124" s="80"/>
    </row>
    <row r="125" spans="1:23">
      <c r="A125" s="7" t="s">
        <v>23</v>
      </c>
      <c r="B125" s="19">
        <v>46199</v>
      </c>
      <c r="C125" s="10">
        <v>209</v>
      </c>
      <c r="D125" s="11">
        <v>9288</v>
      </c>
      <c r="E125" s="12"/>
      <c r="F125" s="12"/>
      <c r="G125" s="13">
        <v>7.5</v>
      </c>
      <c r="H125" s="13">
        <f>G125*365/84</f>
        <v>32.589285714285715</v>
      </c>
      <c r="I125" s="11">
        <f>B123 * 1.5</f>
        <v>13932</v>
      </c>
      <c r="J125" s="14"/>
      <c r="K125" s="10">
        <f>J125*365/84</f>
        <v>0</v>
      </c>
      <c r="L125" s="11">
        <f>B123 * 1.5</f>
        <v>13932</v>
      </c>
      <c r="M125" s="10"/>
      <c r="N125" s="10">
        <v>0</v>
      </c>
      <c r="O125" s="15">
        <f>B123*0.5</f>
        <v>4644</v>
      </c>
      <c r="P125" s="54">
        <f>B123*8</f>
        <v>74304</v>
      </c>
      <c r="Q125" s="76">
        <f ca="1">IF(DATEDIF(B125, TODAY(), "m") &lt; 1, 0,
  IF(DATEDIF(B125, TODAY(), "y") &lt; 1, 8,
    MIN(25, 15 + INT((DATEDIF(B125, TODAY(), "y") - 1) / 2)) * 8 / 12
  )
)</f>
        <v>8</v>
      </c>
      <c r="R125" s="16"/>
      <c r="S125" s="81"/>
      <c r="T125" s="83"/>
      <c r="U125" s="80"/>
      <c r="V125" s="80"/>
      <c r="W125" s="80"/>
    </row>
    <row r="126" spans="1:23">
      <c r="A126" s="18">
        <v>2661362</v>
      </c>
      <c r="B126" s="2"/>
      <c r="C126" s="10">
        <f>SUM(C125, H125*1.5, K125*1.5)</f>
        <v>257.88392857142856</v>
      </c>
      <c r="D126" s="80">
        <f>(D125 * 209)  + F125</f>
        <v>1941192</v>
      </c>
      <c r="E126" s="79"/>
      <c r="F126" s="79"/>
      <c r="G126" s="80">
        <f>H125 * I125</f>
        <v>454033.92857142858</v>
      </c>
      <c r="H126" s="79"/>
      <c r="I126" s="79"/>
      <c r="J126" s="80">
        <f>K125 * L125</f>
        <v>0</v>
      </c>
      <c r="K126" s="79"/>
      <c r="L126" s="79"/>
      <c r="M126" s="85">
        <f>N125*O125</f>
        <v>0</v>
      </c>
      <c r="N126" s="79"/>
      <c r="O126" s="79"/>
      <c r="P126" s="86">
        <f ca="1">B123*Q125</f>
        <v>74304</v>
      </c>
      <c r="Q126" s="86"/>
      <c r="R126" s="15">
        <f>B123*0.5*R125</f>
        <v>0</v>
      </c>
      <c r="S126" s="82"/>
      <c r="T126" s="84"/>
      <c r="U126" s="10" t="s">
        <v>19</v>
      </c>
      <c r="V126" s="87">
        <f>D126+G126+J126+M126</f>
        <v>2395225.9285714286</v>
      </c>
      <c r="W126" s="88"/>
    </row>
  </sheetData>
  <mergeCells count="378">
    <mergeCell ref="C117:F117"/>
    <mergeCell ref="G117:Q117"/>
    <mergeCell ref="R117:T117"/>
    <mergeCell ref="U117:W117"/>
    <mergeCell ref="C118:D118"/>
    <mergeCell ref="G118:I118"/>
    <mergeCell ref="J118:L118"/>
    <mergeCell ref="M118:O118"/>
    <mergeCell ref="P118:Q118"/>
    <mergeCell ref="U118:W119"/>
    <mergeCell ref="S119:S120"/>
    <mergeCell ref="T119:T120"/>
    <mergeCell ref="D120:F120"/>
    <mergeCell ref="G120:I120"/>
    <mergeCell ref="J120:L120"/>
    <mergeCell ref="M120:O120"/>
    <mergeCell ref="P120:Q120"/>
    <mergeCell ref="V120:W120"/>
    <mergeCell ref="C81:F81"/>
    <mergeCell ref="G81:Q81"/>
    <mergeCell ref="R81:T81"/>
    <mergeCell ref="U81:W81"/>
    <mergeCell ref="C82:D82"/>
    <mergeCell ref="G82:I82"/>
    <mergeCell ref="J82:L82"/>
    <mergeCell ref="M82:O82"/>
    <mergeCell ref="P82:Q82"/>
    <mergeCell ref="U82:W83"/>
    <mergeCell ref="S83:S84"/>
    <mergeCell ref="T83:T84"/>
    <mergeCell ref="D84:F84"/>
    <mergeCell ref="G84:I84"/>
    <mergeCell ref="J84:L84"/>
    <mergeCell ref="M84:O84"/>
    <mergeCell ref="P84:Q84"/>
    <mergeCell ref="V84:W84"/>
    <mergeCell ref="C75:F75"/>
    <mergeCell ref="G75:Q75"/>
    <mergeCell ref="R75:T75"/>
    <mergeCell ref="U75:W75"/>
    <mergeCell ref="C76:D76"/>
    <mergeCell ref="G76:I76"/>
    <mergeCell ref="J76:L76"/>
    <mergeCell ref="M76:O76"/>
    <mergeCell ref="P76:Q76"/>
    <mergeCell ref="U76:W77"/>
    <mergeCell ref="S77:S78"/>
    <mergeCell ref="T77:T78"/>
    <mergeCell ref="D78:F78"/>
    <mergeCell ref="G78:I78"/>
    <mergeCell ref="J78:L78"/>
    <mergeCell ref="M78:O78"/>
    <mergeCell ref="P78:Q78"/>
    <mergeCell ref="V78:W78"/>
    <mergeCell ref="G64:I64"/>
    <mergeCell ref="J64:L64"/>
    <mergeCell ref="M64:O64"/>
    <mergeCell ref="P64:Q64"/>
    <mergeCell ref="C63:F63"/>
    <mergeCell ref="G63:Q63"/>
    <mergeCell ref="R63:T63"/>
    <mergeCell ref="U63:W63"/>
    <mergeCell ref="C64:D64"/>
    <mergeCell ref="U64:W65"/>
    <mergeCell ref="S65:S66"/>
    <mergeCell ref="T65:T66"/>
    <mergeCell ref="D66:F66"/>
    <mergeCell ref="G66:I66"/>
    <mergeCell ref="J66:L66"/>
    <mergeCell ref="M66:O66"/>
    <mergeCell ref="P66:Q66"/>
    <mergeCell ref="V66:W66"/>
    <mergeCell ref="C3:F3"/>
    <mergeCell ref="G3:Q3"/>
    <mergeCell ref="R3:T3"/>
    <mergeCell ref="U3:W3"/>
    <mergeCell ref="C4:D4"/>
    <mergeCell ref="G4:I4"/>
    <mergeCell ref="J4:L4"/>
    <mergeCell ref="M4:O4"/>
    <mergeCell ref="P4:Q4"/>
    <mergeCell ref="U4:W5"/>
    <mergeCell ref="S5:S6"/>
    <mergeCell ref="T5:T6"/>
    <mergeCell ref="D6:F6"/>
    <mergeCell ref="G6:I6"/>
    <mergeCell ref="J6:L6"/>
    <mergeCell ref="M6:O6"/>
    <mergeCell ref="P6:Q6"/>
    <mergeCell ref="V6:W6"/>
    <mergeCell ref="C9:F9"/>
    <mergeCell ref="G9:Q9"/>
    <mergeCell ref="R9:T9"/>
    <mergeCell ref="U9:W9"/>
    <mergeCell ref="C10:D10"/>
    <mergeCell ref="G10:I10"/>
    <mergeCell ref="J10:L10"/>
    <mergeCell ref="M10:O10"/>
    <mergeCell ref="P10:Q10"/>
    <mergeCell ref="U10:W11"/>
    <mergeCell ref="S11:S12"/>
    <mergeCell ref="T11:T12"/>
    <mergeCell ref="D12:F12"/>
    <mergeCell ref="G12:I12"/>
    <mergeCell ref="J12:L12"/>
    <mergeCell ref="M12:O12"/>
    <mergeCell ref="P12:Q12"/>
    <mergeCell ref="V12:W12"/>
    <mergeCell ref="C15:F15"/>
    <mergeCell ref="G15:Q15"/>
    <mergeCell ref="R15:T15"/>
    <mergeCell ref="U15:W15"/>
    <mergeCell ref="C16:D16"/>
    <mergeCell ref="G16:I16"/>
    <mergeCell ref="J16:L16"/>
    <mergeCell ref="M16:O16"/>
    <mergeCell ref="P16:Q16"/>
    <mergeCell ref="U16:W17"/>
    <mergeCell ref="S17:S18"/>
    <mergeCell ref="T17:T18"/>
    <mergeCell ref="D18:F18"/>
    <mergeCell ref="G18:I18"/>
    <mergeCell ref="J18:L18"/>
    <mergeCell ref="M18:O18"/>
    <mergeCell ref="P18:Q18"/>
    <mergeCell ref="V18:W18"/>
    <mergeCell ref="C21:F21"/>
    <mergeCell ref="G21:Q21"/>
    <mergeCell ref="R21:T21"/>
    <mergeCell ref="U21:W21"/>
    <mergeCell ref="C22:D22"/>
    <mergeCell ref="G22:I22"/>
    <mergeCell ref="J22:L22"/>
    <mergeCell ref="M22:O22"/>
    <mergeCell ref="P22:Q22"/>
    <mergeCell ref="U22:W23"/>
    <mergeCell ref="S23:S24"/>
    <mergeCell ref="T23:T24"/>
    <mergeCell ref="D24:F24"/>
    <mergeCell ref="G24:I24"/>
    <mergeCell ref="J24:L24"/>
    <mergeCell ref="M24:O24"/>
    <mergeCell ref="P24:Q24"/>
    <mergeCell ref="V24:W24"/>
    <mergeCell ref="C27:F27"/>
    <mergeCell ref="G27:Q27"/>
    <mergeCell ref="R27:T27"/>
    <mergeCell ref="U27:W27"/>
    <mergeCell ref="C28:D28"/>
    <mergeCell ref="G28:I28"/>
    <mergeCell ref="J28:L28"/>
    <mergeCell ref="M28:O28"/>
    <mergeCell ref="P28:Q28"/>
    <mergeCell ref="U28:W29"/>
    <mergeCell ref="S29:S30"/>
    <mergeCell ref="T29:T30"/>
    <mergeCell ref="D30:F30"/>
    <mergeCell ref="G30:I30"/>
    <mergeCell ref="J30:L30"/>
    <mergeCell ref="M30:O30"/>
    <mergeCell ref="P30:Q30"/>
    <mergeCell ref="V30:W30"/>
    <mergeCell ref="C33:F33"/>
    <mergeCell ref="G33:Q33"/>
    <mergeCell ref="R33:T33"/>
    <mergeCell ref="U33:W33"/>
    <mergeCell ref="C34:D34"/>
    <mergeCell ref="G34:I34"/>
    <mergeCell ref="J34:L34"/>
    <mergeCell ref="M34:O34"/>
    <mergeCell ref="P34:Q34"/>
    <mergeCell ref="U34:W35"/>
    <mergeCell ref="S35:S36"/>
    <mergeCell ref="T35:T36"/>
    <mergeCell ref="D36:F36"/>
    <mergeCell ref="G36:I36"/>
    <mergeCell ref="J36:L36"/>
    <mergeCell ref="M36:O36"/>
    <mergeCell ref="P36:Q36"/>
    <mergeCell ref="V36:W36"/>
    <mergeCell ref="C39:F39"/>
    <mergeCell ref="G39:Q39"/>
    <mergeCell ref="R39:T39"/>
    <mergeCell ref="U39:W39"/>
    <mergeCell ref="C40:D40"/>
    <mergeCell ref="G40:I40"/>
    <mergeCell ref="J40:L40"/>
    <mergeCell ref="M40:O40"/>
    <mergeCell ref="P40:Q40"/>
    <mergeCell ref="U40:W41"/>
    <mergeCell ref="S41:S42"/>
    <mergeCell ref="T41:T42"/>
    <mergeCell ref="D42:F42"/>
    <mergeCell ref="G42:I42"/>
    <mergeCell ref="J42:L42"/>
    <mergeCell ref="M42:O42"/>
    <mergeCell ref="P42:Q42"/>
    <mergeCell ref="V42:W42"/>
    <mergeCell ref="C57:F57"/>
    <mergeCell ref="G57:Q57"/>
    <mergeCell ref="R57:T57"/>
    <mergeCell ref="U57:W57"/>
    <mergeCell ref="C45:F45"/>
    <mergeCell ref="G45:Q45"/>
    <mergeCell ref="R45:T45"/>
    <mergeCell ref="U45:W45"/>
    <mergeCell ref="C46:D46"/>
    <mergeCell ref="G46:I46"/>
    <mergeCell ref="J46:L46"/>
    <mergeCell ref="M46:O46"/>
    <mergeCell ref="P46:Q46"/>
    <mergeCell ref="U46:W47"/>
    <mergeCell ref="S47:S48"/>
    <mergeCell ref="T47:T48"/>
    <mergeCell ref="D48:F48"/>
    <mergeCell ref="G48:I48"/>
    <mergeCell ref="J48:L48"/>
    <mergeCell ref="M48:O48"/>
    <mergeCell ref="P48:Q48"/>
    <mergeCell ref="V48:W48"/>
    <mergeCell ref="C51:F51"/>
    <mergeCell ref="G51:Q51"/>
    <mergeCell ref="R51:T51"/>
    <mergeCell ref="U51:W51"/>
    <mergeCell ref="C52:D52"/>
    <mergeCell ref="G52:I52"/>
    <mergeCell ref="J52:L52"/>
    <mergeCell ref="M52:O52"/>
    <mergeCell ref="P52:Q52"/>
    <mergeCell ref="U52:W53"/>
    <mergeCell ref="S53:S54"/>
    <mergeCell ref="T53:T54"/>
    <mergeCell ref="D54:F54"/>
    <mergeCell ref="G54:I54"/>
    <mergeCell ref="J54:L54"/>
    <mergeCell ref="M54:O54"/>
    <mergeCell ref="P54:Q54"/>
    <mergeCell ref="V54:W54"/>
    <mergeCell ref="C58:D58"/>
    <mergeCell ref="G58:I58"/>
    <mergeCell ref="J58:L58"/>
    <mergeCell ref="M58:O58"/>
    <mergeCell ref="P58:Q58"/>
    <mergeCell ref="U58:W59"/>
    <mergeCell ref="S59:S60"/>
    <mergeCell ref="T59:T60"/>
    <mergeCell ref="D60:F60"/>
    <mergeCell ref="G60:I60"/>
    <mergeCell ref="J60:L60"/>
    <mergeCell ref="M60:O60"/>
    <mergeCell ref="P60:Q60"/>
    <mergeCell ref="V60:W60"/>
    <mergeCell ref="C69:F69"/>
    <mergeCell ref="G69:Q69"/>
    <mergeCell ref="R69:T69"/>
    <mergeCell ref="U69:W69"/>
    <mergeCell ref="C70:D70"/>
    <mergeCell ref="G70:I70"/>
    <mergeCell ref="J70:L70"/>
    <mergeCell ref="M70:O70"/>
    <mergeCell ref="P70:Q70"/>
    <mergeCell ref="U70:W71"/>
    <mergeCell ref="S71:S72"/>
    <mergeCell ref="T71:T72"/>
    <mergeCell ref="D72:F72"/>
    <mergeCell ref="G72:I72"/>
    <mergeCell ref="J72:L72"/>
    <mergeCell ref="M72:O72"/>
    <mergeCell ref="P72:Q72"/>
    <mergeCell ref="V72:W72"/>
    <mergeCell ref="C87:F87"/>
    <mergeCell ref="G87:Q87"/>
    <mergeCell ref="R87:T87"/>
    <mergeCell ref="U87:W87"/>
    <mergeCell ref="C88:D88"/>
    <mergeCell ref="G88:I88"/>
    <mergeCell ref="J88:L88"/>
    <mergeCell ref="M88:O88"/>
    <mergeCell ref="P88:Q88"/>
    <mergeCell ref="U88:W89"/>
    <mergeCell ref="S89:S90"/>
    <mergeCell ref="T89:T90"/>
    <mergeCell ref="D90:F90"/>
    <mergeCell ref="G90:I90"/>
    <mergeCell ref="J90:L90"/>
    <mergeCell ref="M90:O90"/>
    <mergeCell ref="P90:Q90"/>
    <mergeCell ref="V90:W90"/>
    <mergeCell ref="C93:F93"/>
    <mergeCell ref="G93:Q93"/>
    <mergeCell ref="R93:T93"/>
    <mergeCell ref="U93:W93"/>
    <mergeCell ref="C94:D94"/>
    <mergeCell ref="G94:I94"/>
    <mergeCell ref="J94:L94"/>
    <mergeCell ref="M94:O94"/>
    <mergeCell ref="P94:Q94"/>
    <mergeCell ref="U94:W95"/>
    <mergeCell ref="S95:S96"/>
    <mergeCell ref="T95:T96"/>
    <mergeCell ref="D96:F96"/>
    <mergeCell ref="G96:I96"/>
    <mergeCell ref="J96:L96"/>
    <mergeCell ref="M96:O96"/>
    <mergeCell ref="P96:Q96"/>
    <mergeCell ref="V96:W96"/>
    <mergeCell ref="C99:F99"/>
    <mergeCell ref="G99:Q99"/>
    <mergeCell ref="R99:T99"/>
    <mergeCell ref="U99:W99"/>
    <mergeCell ref="C100:D100"/>
    <mergeCell ref="G100:I100"/>
    <mergeCell ref="J100:L100"/>
    <mergeCell ref="M100:O100"/>
    <mergeCell ref="P100:Q100"/>
    <mergeCell ref="U100:W101"/>
    <mergeCell ref="S101:S102"/>
    <mergeCell ref="T101:T102"/>
    <mergeCell ref="D102:F102"/>
    <mergeCell ref="G102:I102"/>
    <mergeCell ref="J102:L102"/>
    <mergeCell ref="M102:O102"/>
    <mergeCell ref="P102:Q102"/>
    <mergeCell ref="V102:W102"/>
    <mergeCell ref="C105:F105"/>
    <mergeCell ref="G105:Q105"/>
    <mergeCell ref="R105:T105"/>
    <mergeCell ref="U105:W105"/>
    <mergeCell ref="C106:D106"/>
    <mergeCell ref="G106:I106"/>
    <mergeCell ref="J106:L106"/>
    <mergeCell ref="M106:O106"/>
    <mergeCell ref="P106:Q106"/>
    <mergeCell ref="U106:W107"/>
    <mergeCell ref="S107:S108"/>
    <mergeCell ref="T107:T108"/>
    <mergeCell ref="D108:F108"/>
    <mergeCell ref="G108:I108"/>
    <mergeCell ref="J108:L108"/>
    <mergeCell ref="M108:O108"/>
    <mergeCell ref="P108:Q108"/>
    <mergeCell ref="V108:W108"/>
    <mergeCell ref="C111:F111"/>
    <mergeCell ref="G111:Q111"/>
    <mergeCell ref="R111:T111"/>
    <mergeCell ref="U111:W111"/>
    <mergeCell ref="C112:D112"/>
    <mergeCell ref="G112:I112"/>
    <mergeCell ref="J112:L112"/>
    <mergeCell ref="M112:O112"/>
    <mergeCell ref="P112:Q112"/>
    <mergeCell ref="U112:W113"/>
    <mergeCell ref="S113:S114"/>
    <mergeCell ref="T113:T114"/>
    <mergeCell ref="D114:F114"/>
    <mergeCell ref="G114:I114"/>
    <mergeCell ref="J114:L114"/>
    <mergeCell ref="M114:O114"/>
    <mergeCell ref="P114:Q114"/>
    <mergeCell ref="V114:W114"/>
    <mergeCell ref="C123:F123"/>
    <mergeCell ref="G123:Q123"/>
    <mergeCell ref="R123:T123"/>
    <mergeCell ref="U123:W123"/>
    <mergeCell ref="C124:D124"/>
    <mergeCell ref="G124:I124"/>
    <mergeCell ref="J124:L124"/>
    <mergeCell ref="M124:O124"/>
    <mergeCell ref="P124:Q124"/>
    <mergeCell ref="U124:W125"/>
    <mergeCell ref="S125:S126"/>
    <mergeCell ref="T125:T126"/>
    <mergeCell ref="D126:F126"/>
    <mergeCell ref="G126:I126"/>
    <mergeCell ref="J126:L126"/>
    <mergeCell ref="M126:O126"/>
    <mergeCell ref="P126:Q126"/>
    <mergeCell ref="V126:W126"/>
  </mergeCells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186"/>
  <sheetViews>
    <sheetView tabSelected="1" topLeftCell="A145" zoomScale="85" zoomScaleNormal="85" workbookViewId="0">
      <selection activeCell="B184" sqref="B184"/>
    </sheetView>
  </sheetViews>
  <sheetFormatPr defaultRowHeight="16.5"/>
  <cols>
    <col min="1" max="1" width="16.125" bestFit="1" customWidth="1"/>
    <col min="2" max="2" width="11.875" customWidth="1"/>
    <col min="3" max="3" width="5.625" customWidth="1"/>
    <col min="4" max="4" width="8.875" customWidth="1"/>
    <col min="5" max="5" width="10.125" customWidth="1"/>
    <col min="6" max="6" width="10.5" customWidth="1"/>
    <col min="7" max="8" width="4.75" style="1" customWidth="1"/>
    <col min="9" max="9" width="9.375" bestFit="1" customWidth="1"/>
    <col min="10" max="10" width="4.875" style="59" customWidth="1"/>
    <col min="11" max="11" width="4.75" customWidth="1"/>
    <col min="12" max="12" width="9.375" bestFit="1" customWidth="1"/>
    <col min="13" max="14" width="4.625" customWidth="1"/>
    <col min="15" max="15" width="8.25" bestFit="1" customWidth="1"/>
    <col min="16" max="16" width="10.5" bestFit="1" customWidth="1"/>
    <col min="17" max="17" width="8.875" customWidth="1"/>
    <col min="18" max="18" width="12.75" customWidth="1"/>
    <col min="19" max="19" width="10.5" bestFit="1" customWidth="1"/>
    <col min="21" max="21" width="10.875" bestFit="1" customWidth="1"/>
    <col min="25" max="25" width="11.5" bestFit="1" customWidth="1"/>
  </cols>
  <sheetData>
    <row r="1" spans="1:25">
      <c r="A1" s="2" t="s">
        <v>16</v>
      </c>
      <c r="B1" s="3">
        <f>( (D3 * 209) + F3 ) / 209</f>
        <v>12473.110047846891</v>
      </c>
      <c r="C1" s="93" t="s">
        <v>3</v>
      </c>
      <c r="D1" s="94"/>
      <c r="E1" s="94"/>
      <c r="F1" s="95"/>
      <c r="G1" s="96" t="s">
        <v>14</v>
      </c>
      <c r="H1" s="94"/>
      <c r="I1" s="94"/>
      <c r="J1" s="94"/>
      <c r="K1" s="94"/>
      <c r="L1" s="94"/>
      <c r="M1" s="94"/>
      <c r="N1" s="94"/>
      <c r="O1" s="94"/>
      <c r="P1" s="94"/>
      <c r="Q1" s="95"/>
      <c r="R1" s="96" t="s">
        <v>15</v>
      </c>
      <c r="S1" s="94"/>
      <c r="T1" s="95"/>
      <c r="U1" s="96" t="s">
        <v>18</v>
      </c>
      <c r="V1" s="94"/>
      <c r="W1" s="95"/>
      <c r="X1" s="107"/>
      <c r="Y1" s="107"/>
    </row>
    <row r="2" spans="1:25">
      <c r="A2" s="8" t="s">
        <v>0</v>
      </c>
      <c r="B2" s="4" t="s">
        <v>87</v>
      </c>
      <c r="C2" s="93" t="s">
        <v>4</v>
      </c>
      <c r="D2" s="95"/>
      <c r="E2" s="10" t="s">
        <v>5</v>
      </c>
      <c r="F2" s="10" t="s">
        <v>6</v>
      </c>
      <c r="G2" s="96" t="s">
        <v>7</v>
      </c>
      <c r="H2" s="94"/>
      <c r="I2" s="95"/>
      <c r="J2" s="96" t="s">
        <v>8</v>
      </c>
      <c r="K2" s="94"/>
      <c r="L2" s="95"/>
      <c r="M2" s="96" t="s">
        <v>10</v>
      </c>
      <c r="N2" s="94"/>
      <c r="O2" s="95"/>
      <c r="P2" s="96" t="s">
        <v>11</v>
      </c>
      <c r="Q2" s="95"/>
      <c r="R2" s="10" t="s">
        <v>9</v>
      </c>
      <c r="S2" s="10" t="s">
        <v>12</v>
      </c>
      <c r="T2" s="10" t="s">
        <v>13</v>
      </c>
      <c r="U2" s="101">
        <f ca="1">ROUNDDOWN(SUM(D4, E3, G4, J4, M4, P4, R4, S3, T3), -1)</f>
        <v>4868510</v>
      </c>
      <c r="V2" s="102"/>
      <c r="W2" s="103"/>
      <c r="X2" s="107"/>
      <c r="Y2" s="107"/>
    </row>
    <row r="3" spans="1:25">
      <c r="A3" s="8" t="s">
        <v>1</v>
      </c>
      <c r="B3" s="17">
        <v>44986</v>
      </c>
      <c r="C3" s="10">
        <v>209</v>
      </c>
      <c r="D3" s="11">
        <v>10320</v>
      </c>
      <c r="E3" s="12">
        <v>200000</v>
      </c>
      <c r="F3" s="12">
        <v>450000</v>
      </c>
      <c r="G3" s="13">
        <v>7.5</v>
      </c>
      <c r="H3" s="13">
        <f>G3*365/84</f>
        <v>32.589285714285715</v>
      </c>
      <c r="I3" s="11">
        <f>B1 * 1.5</f>
        <v>18709.665071770338</v>
      </c>
      <c r="J3" s="58">
        <v>9.5</v>
      </c>
      <c r="K3" s="10">
        <f>J3*365/84</f>
        <v>41.279761904761905</v>
      </c>
      <c r="L3" s="11">
        <f>B1 * 1.5</f>
        <v>18709.665071770338</v>
      </c>
      <c r="M3" s="10"/>
      <c r="N3" s="10">
        <v>0</v>
      </c>
      <c r="O3" s="15">
        <f>B1*0.5</f>
        <v>6236.5550239234453</v>
      </c>
      <c r="P3" s="54">
        <f>B1 * 12</f>
        <v>149677.3205741627</v>
      </c>
      <c r="Q3" s="10">
        <f ca="1">IF(DATEDIF(B3, EOMONTH(NOW(), 0), "Y") &lt; 1, 11, MIN(25, 15 + INT((DATEDIF(B3, EOMONTH(NOW(), 0), "Y") - 1) / 2)))</f>
        <v>16</v>
      </c>
      <c r="R3" s="16"/>
      <c r="S3" s="81">
        <v>480000</v>
      </c>
      <c r="T3" s="83"/>
      <c r="U3" s="104"/>
      <c r="V3" s="105"/>
      <c r="W3" s="106"/>
      <c r="X3" s="107"/>
      <c r="Y3" s="107"/>
    </row>
    <row r="4" spans="1:25">
      <c r="A4" s="18">
        <f ca="1">U2/C4</f>
        <v>15223.438494611646</v>
      </c>
      <c r="B4" s="4" t="s">
        <v>86</v>
      </c>
      <c r="C4" s="10">
        <f>SUM(C3, H3*1.5, K3*1.5)</f>
        <v>319.80357142857144</v>
      </c>
      <c r="D4" s="87">
        <f>(D3 * 209) + F3</f>
        <v>2606880</v>
      </c>
      <c r="E4" s="97"/>
      <c r="F4" s="88"/>
      <c r="G4" s="87">
        <f>H3 * I3</f>
        <v>609734.62064251548</v>
      </c>
      <c r="H4" s="97"/>
      <c r="I4" s="88"/>
      <c r="J4" s="87">
        <f>K3 * L3</f>
        <v>772330.51948051958</v>
      </c>
      <c r="K4" s="97"/>
      <c r="L4" s="88"/>
      <c r="M4" s="98">
        <f>N3*O3</f>
        <v>0</v>
      </c>
      <c r="N4" s="99"/>
      <c r="O4" s="100"/>
      <c r="P4" s="87">
        <f ca="1">ROUND((P3 * Q3) / 12, -1)</f>
        <v>199570</v>
      </c>
      <c r="Q4" s="88"/>
      <c r="R4" s="15">
        <f>B1*0.5*R3</f>
        <v>0</v>
      </c>
      <c r="S4" s="82"/>
      <c r="T4" s="84"/>
      <c r="U4" s="10" t="s">
        <v>19</v>
      </c>
      <c r="V4" s="87">
        <f ca="1">D4+G4+L4+M4+P4</f>
        <v>3416184.6206425154</v>
      </c>
      <c r="W4" s="88"/>
      <c r="X4" s="107"/>
      <c r="Y4" s="107"/>
    </row>
    <row r="5" spans="1:25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</row>
    <row r="6" spans="1:25">
      <c r="A6" s="107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</row>
    <row r="7" spans="1:25">
      <c r="A7" s="2" t="s">
        <v>16</v>
      </c>
      <c r="B7" s="3">
        <f>( (D9 * 209) + F9 ) / 209</f>
        <v>10559.234449760766</v>
      </c>
      <c r="C7" s="93" t="s">
        <v>3</v>
      </c>
      <c r="D7" s="94"/>
      <c r="E7" s="94"/>
      <c r="F7" s="95"/>
      <c r="G7" s="96" t="s">
        <v>14</v>
      </c>
      <c r="H7" s="94"/>
      <c r="I7" s="94"/>
      <c r="J7" s="94"/>
      <c r="K7" s="94"/>
      <c r="L7" s="94"/>
      <c r="M7" s="94"/>
      <c r="N7" s="94"/>
      <c r="O7" s="94"/>
      <c r="P7" s="94"/>
      <c r="Q7" s="95"/>
      <c r="R7" s="96" t="s">
        <v>15</v>
      </c>
      <c r="S7" s="94"/>
      <c r="T7" s="95"/>
      <c r="U7" s="96" t="s">
        <v>18</v>
      </c>
      <c r="V7" s="94"/>
      <c r="W7" s="95"/>
      <c r="X7" s="107"/>
      <c r="Y7" s="107"/>
    </row>
    <row r="8" spans="1:25">
      <c r="A8" s="8" t="s">
        <v>0</v>
      </c>
      <c r="B8" s="4" t="s">
        <v>2</v>
      </c>
      <c r="C8" s="93" t="s">
        <v>4</v>
      </c>
      <c r="D8" s="95"/>
      <c r="E8" s="10" t="s">
        <v>5</v>
      </c>
      <c r="F8" s="10" t="s">
        <v>6</v>
      </c>
      <c r="G8" s="96" t="s">
        <v>7</v>
      </c>
      <c r="H8" s="94"/>
      <c r="I8" s="95"/>
      <c r="J8" s="96" t="s">
        <v>8</v>
      </c>
      <c r="K8" s="94"/>
      <c r="L8" s="95"/>
      <c r="M8" s="96" t="s">
        <v>10</v>
      </c>
      <c r="N8" s="94"/>
      <c r="O8" s="95"/>
      <c r="P8" s="96" t="s">
        <v>11</v>
      </c>
      <c r="Q8" s="95"/>
      <c r="R8" s="10" t="s">
        <v>9</v>
      </c>
      <c r="S8" s="10" t="s">
        <v>12</v>
      </c>
      <c r="T8" s="10" t="s">
        <v>13</v>
      </c>
      <c r="U8" s="101">
        <f ca="1">ROUNDDOWN(SUM(D10, E9, G10, J10, M10, P10, R10, S9, T9), -1)</f>
        <v>3622270</v>
      </c>
      <c r="V8" s="102"/>
      <c r="W8" s="103"/>
      <c r="X8" s="107"/>
      <c r="Y8" s="107"/>
    </row>
    <row r="9" spans="1:25">
      <c r="A9" s="8" t="s">
        <v>1</v>
      </c>
      <c r="B9" s="17">
        <v>45663</v>
      </c>
      <c r="C9" s="10">
        <v>209</v>
      </c>
      <c r="D9" s="11">
        <v>10320</v>
      </c>
      <c r="E9" s="12"/>
      <c r="F9" s="12">
        <v>50000</v>
      </c>
      <c r="G9" s="13">
        <v>7.5</v>
      </c>
      <c r="H9" s="13">
        <f>G9*365/84</f>
        <v>32.589285714285715</v>
      </c>
      <c r="I9" s="11">
        <f>B7 * 1.5</f>
        <v>15838.85167464115</v>
      </c>
      <c r="J9" s="58">
        <v>9.5</v>
      </c>
      <c r="K9" s="10">
        <f>J9*365/84</f>
        <v>41.279761904761905</v>
      </c>
      <c r="L9" s="11">
        <f>B7 * 1.5</f>
        <v>15838.85167464115</v>
      </c>
      <c r="M9" s="10"/>
      <c r="N9" s="10">
        <v>0</v>
      </c>
      <c r="O9" s="15">
        <f>B7*0.5</f>
        <v>5279.6172248803832</v>
      </c>
      <c r="P9" s="54">
        <f>B7 * 12</f>
        <v>126710.8133971292</v>
      </c>
      <c r="Q9" s="10">
        <f ca="1">IF(DATEDIF(B9, EOMONTH(NOW(), 0), "Y") &lt; 1, 11, MIN(25, 15 + INT((DATEDIF(B9, EOMONTH(NOW(), 0), "Y") - 1) / 2)))</f>
        <v>15</v>
      </c>
      <c r="R9" s="16"/>
      <c r="S9" s="83">
        <v>87000</v>
      </c>
      <c r="T9" s="83"/>
      <c r="U9" s="104"/>
      <c r="V9" s="105"/>
      <c r="W9" s="106"/>
      <c r="X9" s="107"/>
      <c r="Y9" s="107"/>
    </row>
    <row r="10" spans="1:25">
      <c r="A10" s="18">
        <f ca="1">U8/C10</f>
        <v>11326.54642916969</v>
      </c>
      <c r="B10" s="4" t="s">
        <v>17</v>
      </c>
      <c r="C10" s="10">
        <f>SUM(C9, H9*1.5, K9*1.5)</f>
        <v>319.80357142857144</v>
      </c>
      <c r="D10" s="87">
        <f>(D9 * 209)  + F9</f>
        <v>2206880</v>
      </c>
      <c r="E10" s="97"/>
      <c r="F10" s="88"/>
      <c r="G10" s="87">
        <f>H9 * I9</f>
        <v>516176.86261107319</v>
      </c>
      <c r="H10" s="97"/>
      <c r="I10" s="88"/>
      <c r="J10" s="87">
        <f>K9 * L9</f>
        <v>653824.02597402607</v>
      </c>
      <c r="K10" s="97"/>
      <c r="L10" s="88"/>
      <c r="M10" s="98">
        <f>N9*O9</f>
        <v>0</v>
      </c>
      <c r="N10" s="99"/>
      <c r="O10" s="100"/>
      <c r="P10" s="87">
        <f ca="1">ROUND((P9 * Q9) / 12, -1)</f>
        <v>158390</v>
      </c>
      <c r="Q10" s="88"/>
      <c r="R10" s="15">
        <f>B7*0.5*R9</f>
        <v>0</v>
      </c>
      <c r="S10" s="84"/>
      <c r="T10" s="84"/>
      <c r="U10" s="10" t="s">
        <v>19</v>
      </c>
      <c r="V10" s="87">
        <f>D10+F9+G10+L10+M10</f>
        <v>2773056.8626110731</v>
      </c>
      <c r="W10" s="88"/>
      <c r="X10" s="107"/>
      <c r="Y10" s="107"/>
    </row>
    <row r="11" spans="1:25">
      <c r="A11" s="107"/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</row>
    <row r="12" spans="1:25">
      <c r="A12" s="107"/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</row>
    <row r="13" spans="1:25">
      <c r="A13" s="2" t="s">
        <v>16</v>
      </c>
      <c r="B13" s="20">
        <f>( (D15 * 209) + F15 ) / 209</f>
        <v>10463.54066985646</v>
      </c>
      <c r="C13" s="93" t="s">
        <v>3</v>
      </c>
      <c r="D13" s="94"/>
      <c r="E13" s="94"/>
      <c r="F13" s="95"/>
      <c r="G13" s="96" t="s">
        <v>14</v>
      </c>
      <c r="H13" s="94"/>
      <c r="I13" s="94"/>
      <c r="J13" s="94"/>
      <c r="K13" s="94"/>
      <c r="L13" s="94"/>
      <c r="M13" s="94"/>
      <c r="N13" s="94"/>
      <c r="O13" s="94"/>
      <c r="P13" s="94"/>
      <c r="Q13" s="95"/>
      <c r="R13" s="96" t="s">
        <v>15</v>
      </c>
      <c r="S13" s="94"/>
      <c r="T13" s="95"/>
      <c r="U13" s="96" t="s">
        <v>18</v>
      </c>
      <c r="V13" s="94"/>
      <c r="W13" s="95"/>
      <c r="X13" s="107"/>
      <c r="Y13" s="107"/>
    </row>
    <row r="14" spans="1:25">
      <c r="A14" s="9" t="s">
        <v>20</v>
      </c>
      <c r="B14" s="2" t="s">
        <v>24</v>
      </c>
      <c r="C14" s="93" t="s">
        <v>4</v>
      </c>
      <c r="D14" s="95"/>
      <c r="E14" s="10" t="s">
        <v>5</v>
      </c>
      <c r="F14" s="10" t="s">
        <v>6</v>
      </c>
      <c r="G14" s="96" t="s">
        <v>7</v>
      </c>
      <c r="H14" s="94"/>
      <c r="I14" s="95"/>
      <c r="J14" s="96" t="s">
        <v>8</v>
      </c>
      <c r="K14" s="94"/>
      <c r="L14" s="95"/>
      <c r="M14" s="96" t="s">
        <v>10</v>
      </c>
      <c r="N14" s="94"/>
      <c r="O14" s="95"/>
      <c r="P14" s="96" t="s">
        <v>11</v>
      </c>
      <c r="Q14" s="95"/>
      <c r="R14" s="10" t="s">
        <v>9</v>
      </c>
      <c r="S14" s="10" t="s">
        <v>12</v>
      </c>
      <c r="T14" s="10" t="s">
        <v>13</v>
      </c>
      <c r="U14" s="101">
        <f ca="1">ROUNDDOWN(SUM(D16, E15, G16, J16, M16, P16, R16, S15, T15), -1)</f>
        <v>3250000</v>
      </c>
      <c r="V14" s="102"/>
      <c r="W14" s="103"/>
      <c r="X14" s="107"/>
      <c r="Y14" s="107"/>
    </row>
    <row r="15" spans="1:25">
      <c r="A15" s="9" t="s">
        <v>21</v>
      </c>
      <c r="B15" s="19">
        <v>45663</v>
      </c>
      <c r="C15" s="10">
        <v>209</v>
      </c>
      <c r="D15" s="11">
        <v>10320</v>
      </c>
      <c r="E15" s="21"/>
      <c r="F15" s="21">
        <v>30000</v>
      </c>
      <c r="G15" s="13">
        <v>7.5</v>
      </c>
      <c r="H15" s="13">
        <f>G15*365/84</f>
        <v>32.589285714285715</v>
      </c>
      <c r="I15" s="11">
        <f>B13 * 1.5</f>
        <v>15695.311004784689</v>
      </c>
      <c r="J15" s="58">
        <v>4.75</v>
      </c>
      <c r="K15" s="10">
        <f>J15*365/84</f>
        <v>20.639880952380953</v>
      </c>
      <c r="L15" s="11">
        <f>B13 * 1.5</f>
        <v>15695.311004784689</v>
      </c>
      <c r="M15" s="10"/>
      <c r="N15" s="10">
        <v>0</v>
      </c>
      <c r="O15" s="15">
        <f>B13*0.5</f>
        <v>5231.7703349282301</v>
      </c>
      <c r="P15" s="54">
        <f>B13 * 12</f>
        <v>125562.48803827752</v>
      </c>
      <c r="Q15" s="10">
        <f ca="1">IF(DATEDIF(B15, EOMONTH(NOW(), 0), "Y") &lt; 1, 11, MIN(25, 15 + INT((DATEDIF(B15, EOMONTH(NOW(), 0), "Y") - 1) / 2)))</f>
        <v>15</v>
      </c>
      <c r="R15" s="22"/>
      <c r="S15" s="89">
        <v>70722</v>
      </c>
      <c r="T15" s="91"/>
      <c r="U15" s="104"/>
      <c r="V15" s="105"/>
      <c r="W15" s="106"/>
      <c r="X15" s="107"/>
      <c r="Y15" s="107"/>
    </row>
    <row r="16" spans="1:25">
      <c r="A16" s="18">
        <f ca="1">U14/C16</f>
        <v>11251.758087201126</v>
      </c>
      <c r="B16" s="2" t="s">
        <v>25</v>
      </c>
      <c r="C16" s="10">
        <f>SUM(C15, H15*1.5, K15*1.5)</f>
        <v>288.84375</v>
      </c>
      <c r="D16" s="87">
        <f>(D15 * 209)  + F15</f>
        <v>2186880</v>
      </c>
      <c r="E16" s="97"/>
      <c r="F16" s="88"/>
      <c r="G16" s="87">
        <f>H15 * I15</f>
        <v>511498.97470950108</v>
      </c>
      <c r="H16" s="97"/>
      <c r="I16" s="88"/>
      <c r="J16" s="87">
        <f>K15 * L15</f>
        <v>323949.35064935067</v>
      </c>
      <c r="K16" s="97"/>
      <c r="L16" s="88"/>
      <c r="M16" s="98">
        <f>N15*O15</f>
        <v>0</v>
      </c>
      <c r="N16" s="99"/>
      <c r="O16" s="100"/>
      <c r="P16" s="87">
        <f ca="1">ROUND((P15 * Q15) / 12, -1)</f>
        <v>156950</v>
      </c>
      <c r="Q16" s="88"/>
      <c r="R16" s="15">
        <f>B13*0.5*R15</f>
        <v>0</v>
      </c>
      <c r="S16" s="90"/>
      <c r="T16" s="92"/>
      <c r="U16" s="10" t="s">
        <v>19</v>
      </c>
      <c r="V16" s="87">
        <f>D16+F15+G16+L16+M16</f>
        <v>2728378.974709501</v>
      </c>
      <c r="W16" s="88"/>
      <c r="X16" s="107"/>
      <c r="Y16" s="107"/>
    </row>
    <row r="17" spans="1:25">
      <c r="A17" s="107"/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</row>
    <row r="18" spans="1:25">
      <c r="A18" s="107"/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</row>
    <row r="19" spans="1:25">
      <c r="A19" s="2" t="s">
        <v>16</v>
      </c>
      <c r="B19" s="3">
        <f>( (D21 * 209) + F21 ) / 209</f>
        <v>11085.55023923445</v>
      </c>
      <c r="C19" s="93" t="s">
        <v>3</v>
      </c>
      <c r="D19" s="94"/>
      <c r="E19" s="94"/>
      <c r="F19" s="95"/>
      <c r="G19" s="96" t="s">
        <v>14</v>
      </c>
      <c r="H19" s="94"/>
      <c r="I19" s="94"/>
      <c r="J19" s="94"/>
      <c r="K19" s="94"/>
      <c r="L19" s="94"/>
      <c r="M19" s="94"/>
      <c r="N19" s="94"/>
      <c r="O19" s="94"/>
      <c r="P19" s="94"/>
      <c r="Q19" s="95"/>
      <c r="R19" s="96" t="s">
        <v>15</v>
      </c>
      <c r="S19" s="94"/>
      <c r="T19" s="95"/>
      <c r="U19" s="96" t="s">
        <v>18</v>
      </c>
      <c r="V19" s="94"/>
      <c r="W19" s="95"/>
      <c r="X19" s="107"/>
      <c r="Y19" s="107"/>
    </row>
    <row r="20" spans="1:25">
      <c r="A20" s="7" t="s">
        <v>22</v>
      </c>
      <c r="B20" s="2" t="s">
        <v>84</v>
      </c>
      <c r="C20" s="93" t="s">
        <v>4</v>
      </c>
      <c r="D20" s="95"/>
      <c r="E20" s="10" t="s">
        <v>5</v>
      </c>
      <c r="F20" s="10" t="s">
        <v>6</v>
      </c>
      <c r="G20" s="96" t="s">
        <v>7</v>
      </c>
      <c r="H20" s="94"/>
      <c r="I20" s="95"/>
      <c r="J20" s="96" t="s">
        <v>8</v>
      </c>
      <c r="K20" s="94"/>
      <c r="L20" s="95"/>
      <c r="M20" s="96" t="s">
        <v>10</v>
      </c>
      <c r="N20" s="94"/>
      <c r="O20" s="95"/>
      <c r="P20" s="96" t="s">
        <v>11</v>
      </c>
      <c r="Q20" s="95"/>
      <c r="R20" s="10" t="s">
        <v>9</v>
      </c>
      <c r="S20" s="10" t="s">
        <v>12</v>
      </c>
      <c r="T20" s="10" t="s">
        <v>13</v>
      </c>
      <c r="U20" s="101">
        <f ca="1">ROUNDDOWN(SUM(D22, E21, G22, J22, M22, P22, R22, S21, T21), -1)</f>
        <v>3264080</v>
      </c>
      <c r="V20" s="102"/>
      <c r="W20" s="103"/>
      <c r="X20" s="107"/>
      <c r="Y20" s="107"/>
    </row>
    <row r="21" spans="1:25">
      <c r="A21" s="7" t="s">
        <v>23</v>
      </c>
      <c r="B21" s="19">
        <v>44418</v>
      </c>
      <c r="C21" s="10">
        <v>209</v>
      </c>
      <c r="D21" s="11">
        <v>10320</v>
      </c>
      <c r="E21" s="12"/>
      <c r="F21" s="12">
        <v>160000</v>
      </c>
      <c r="G21" s="13">
        <v>7.5</v>
      </c>
      <c r="H21" s="13">
        <f>G21*365/84</f>
        <v>32.589285714285715</v>
      </c>
      <c r="I21" s="11">
        <f>B19 * 1.5</f>
        <v>16628.325358851675</v>
      </c>
      <c r="J21" s="58"/>
      <c r="K21" s="10">
        <f>J21*365/84</f>
        <v>0</v>
      </c>
      <c r="L21" s="11">
        <f>B19 * 1.5</f>
        <v>16628.325358851675</v>
      </c>
      <c r="M21" s="10"/>
      <c r="N21" s="10">
        <v>0</v>
      </c>
      <c r="O21" s="15">
        <f>B19*0.5</f>
        <v>5542.7751196172248</v>
      </c>
      <c r="P21" s="54">
        <f>B19 * 12</f>
        <v>133026.6028708134</v>
      </c>
      <c r="Q21" s="10">
        <f ca="1">IF(DATEDIF(B21, EOMONTH(NOW(), 0), "Y") &lt; 1, 11, MIN(25, 15 + INT((DATEDIF(B21, EOMONTH(NOW(), 0), "Y") - 1) / 2)))</f>
        <v>17</v>
      </c>
      <c r="R21" s="16"/>
      <c r="S21" s="81">
        <v>216850</v>
      </c>
      <c r="T21" s="83"/>
      <c r="U21" s="104"/>
      <c r="V21" s="105"/>
      <c r="W21" s="106"/>
      <c r="X21" s="107"/>
      <c r="Y21" s="107"/>
    </row>
    <row r="22" spans="1:25">
      <c r="A22" s="5">
        <f ca="1">U20/C22</f>
        <v>12657.167191773709</v>
      </c>
      <c r="B22" s="2" t="s">
        <v>85</v>
      </c>
      <c r="C22" s="10">
        <f>SUM(C21, H21*1.5, K21*1.5)</f>
        <v>257.88392857142856</v>
      </c>
      <c r="D22" s="87">
        <f>(D21 * 209)  + F21</f>
        <v>2316880</v>
      </c>
      <c r="E22" s="97"/>
      <c r="F22" s="88"/>
      <c r="G22" s="87">
        <f>H21 * I21</f>
        <v>541905.24606971978</v>
      </c>
      <c r="H22" s="97"/>
      <c r="I22" s="88"/>
      <c r="J22" s="87">
        <f>K21 * L21</f>
        <v>0</v>
      </c>
      <c r="K22" s="97"/>
      <c r="L22" s="88"/>
      <c r="M22" s="98">
        <f>N21*O21</f>
        <v>0</v>
      </c>
      <c r="N22" s="99"/>
      <c r="O22" s="100"/>
      <c r="P22" s="87">
        <f ca="1">ROUND((P21 * Q21) / 12, -1)</f>
        <v>188450</v>
      </c>
      <c r="Q22" s="88"/>
      <c r="R22" s="15">
        <f>B19*0.5*R21</f>
        <v>0</v>
      </c>
      <c r="S22" s="82"/>
      <c r="T22" s="84"/>
      <c r="U22" s="10" t="s">
        <v>19</v>
      </c>
      <c r="V22" s="87">
        <f>D22+F21+G22+L22+M22</f>
        <v>3018785.24606972</v>
      </c>
      <c r="W22" s="88"/>
      <c r="X22" s="107"/>
      <c r="Y22" s="107"/>
    </row>
    <row r="25" spans="1:25">
      <c r="A25" s="2" t="s">
        <v>16</v>
      </c>
      <c r="B25" s="3">
        <f>( (D27 * 209) + F27 ) / 209</f>
        <v>10559.234449760766</v>
      </c>
      <c r="C25" s="93" t="s">
        <v>3</v>
      </c>
      <c r="D25" s="94"/>
      <c r="E25" s="94"/>
      <c r="F25" s="95"/>
      <c r="G25" s="96" t="s">
        <v>14</v>
      </c>
      <c r="H25" s="94"/>
      <c r="I25" s="94"/>
      <c r="J25" s="94"/>
      <c r="K25" s="94"/>
      <c r="L25" s="94"/>
      <c r="M25" s="94"/>
      <c r="N25" s="94"/>
      <c r="O25" s="94"/>
      <c r="P25" s="94"/>
      <c r="Q25" s="95"/>
      <c r="R25" s="96" t="s">
        <v>15</v>
      </c>
      <c r="S25" s="94"/>
      <c r="T25" s="95"/>
      <c r="U25" s="96" t="s">
        <v>18</v>
      </c>
      <c r="V25" s="94"/>
      <c r="W25" s="95"/>
    </row>
    <row r="26" spans="1:25">
      <c r="A26" s="8" t="s">
        <v>0</v>
      </c>
      <c r="B26" s="4" t="s">
        <v>2</v>
      </c>
      <c r="C26" s="93" t="s">
        <v>4</v>
      </c>
      <c r="D26" s="95"/>
      <c r="E26" s="10" t="s">
        <v>5</v>
      </c>
      <c r="F26" s="10" t="s">
        <v>6</v>
      </c>
      <c r="G26" s="96" t="s">
        <v>7</v>
      </c>
      <c r="H26" s="94"/>
      <c r="I26" s="95"/>
      <c r="J26" s="96" t="s">
        <v>8</v>
      </c>
      <c r="K26" s="94"/>
      <c r="L26" s="95"/>
      <c r="M26" s="96" t="s">
        <v>10</v>
      </c>
      <c r="N26" s="94"/>
      <c r="O26" s="95"/>
      <c r="P26" s="96" t="s">
        <v>11</v>
      </c>
      <c r="Q26" s="95"/>
      <c r="R26" s="10" t="s">
        <v>9</v>
      </c>
      <c r="S26" s="10" t="s">
        <v>12</v>
      </c>
      <c r="T26" s="10" t="s">
        <v>13</v>
      </c>
      <c r="U26" s="101">
        <f ca="1">ROUNDDOWN(SUM(D28, E27, G28, J28, M28, P28, R28, S27, T27), -1)</f>
        <v>3622270</v>
      </c>
      <c r="V26" s="102"/>
      <c r="W26" s="103"/>
    </row>
    <row r="27" spans="1:25">
      <c r="A27" s="8" t="s">
        <v>1</v>
      </c>
      <c r="B27" s="17">
        <v>45663</v>
      </c>
      <c r="C27" s="10">
        <v>209</v>
      </c>
      <c r="D27" s="11">
        <v>10320</v>
      </c>
      <c r="E27" s="12"/>
      <c r="F27" s="12">
        <v>50000</v>
      </c>
      <c r="G27" s="13">
        <v>7.5</v>
      </c>
      <c r="H27" s="13">
        <f>G27*365/84</f>
        <v>32.589285714285715</v>
      </c>
      <c r="I27" s="11">
        <f>B25 * 1.5</f>
        <v>15838.85167464115</v>
      </c>
      <c r="J27" s="58">
        <v>9.5</v>
      </c>
      <c r="K27" s="10">
        <f>J27*365/84</f>
        <v>41.279761904761905</v>
      </c>
      <c r="L27" s="11">
        <f>B25 * 1.5</f>
        <v>15838.85167464115</v>
      </c>
      <c r="M27" s="10"/>
      <c r="N27" s="10">
        <v>0</v>
      </c>
      <c r="O27" s="15">
        <f>B25*0.5</f>
        <v>5279.6172248803832</v>
      </c>
      <c r="P27" s="54">
        <f>B25 * 12</f>
        <v>126710.8133971292</v>
      </c>
      <c r="Q27" s="10">
        <f ca="1">IF(DATEDIF(B27, EOMONTH(NOW(), 0), "Y") &lt; 1, 11, MIN(25, 15 + INT((DATEDIF(B27, EOMONTH(NOW(), 0), "Y") - 1) / 2)))</f>
        <v>15</v>
      </c>
      <c r="R27" s="16"/>
      <c r="S27" s="83">
        <v>87000</v>
      </c>
      <c r="T27" s="83"/>
      <c r="U27" s="104"/>
      <c r="V27" s="105"/>
      <c r="W27" s="106"/>
    </row>
    <row r="28" spans="1:25">
      <c r="A28" s="18">
        <f ca="1">U26/C28</f>
        <v>11326.54642916969</v>
      </c>
      <c r="B28" s="4" t="s">
        <v>17</v>
      </c>
      <c r="C28" s="10">
        <f>SUM(C27, H27*1.5, K27*1.5)</f>
        <v>319.80357142857144</v>
      </c>
      <c r="D28" s="87">
        <f>(D27 * 209) + E27 + F27</f>
        <v>2206880</v>
      </c>
      <c r="E28" s="97"/>
      <c r="F28" s="88"/>
      <c r="G28" s="87">
        <f>H27 * I27</f>
        <v>516176.86261107319</v>
      </c>
      <c r="H28" s="97"/>
      <c r="I28" s="88"/>
      <c r="J28" s="87">
        <f>K27 * L27</f>
        <v>653824.02597402607</v>
      </c>
      <c r="K28" s="97"/>
      <c r="L28" s="88"/>
      <c r="M28" s="98">
        <f>N27*O27</f>
        <v>0</v>
      </c>
      <c r="N28" s="99"/>
      <c r="O28" s="100"/>
      <c r="P28" s="87">
        <f ca="1">ROUND((P27 * Q27) / 12, -1)</f>
        <v>158390</v>
      </c>
      <c r="Q28" s="88"/>
      <c r="R28" s="15">
        <f>B25*0.5*R27</f>
        <v>0</v>
      </c>
      <c r="S28" s="84"/>
      <c r="T28" s="84"/>
      <c r="U28" s="10" t="s">
        <v>19</v>
      </c>
      <c r="V28" s="87">
        <f>D28+F27+G28+L28+M28</f>
        <v>2773056.8626110731</v>
      </c>
      <c r="W28" s="88"/>
    </row>
    <row r="31" spans="1:25">
      <c r="A31" s="2" t="s">
        <v>88</v>
      </c>
      <c r="B31" s="3">
        <f>( (D33 * 209) + F33 ) / 209</f>
        <v>10320</v>
      </c>
      <c r="C31" s="93" t="s">
        <v>3</v>
      </c>
      <c r="D31" s="94"/>
      <c r="E31" s="94"/>
      <c r="F31" s="95"/>
      <c r="G31" s="96" t="s">
        <v>14</v>
      </c>
      <c r="H31" s="94"/>
      <c r="I31" s="94"/>
      <c r="J31" s="94"/>
      <c r="K31" s="94"/>
      <c r="L31" s="94"/>
      <c r="M31" s="94"/>
      <c r="N31" s="94"/>
      <c r="O31" s="94"/>
      <c r="P31" s="94"/>
      <c r="Q31" s="95"/>
      <c r="R31" s="96" t="s">
        <v>15</v>
      </c>
      <c r="S31" s="94"/>
      <c r="T31" s="95"/>
      <c r="U31" s="96" t="s">
        <v>18</v>
      </c>
      <c r="V31" s="94"/>
      <c r="W31" s="95"/>
    </row>
    <row r="32" spans="1:25">
      <c r="A32" s="55" t="s">
        <v>89</v>
      </c>
      <c r="B32" s="4" t="s">
        <v>2</v>
      </c>
      <c r="C32" s="93" t="s">
        <v>4</v>
      </c>
      <c r="D32" s="95"/>
      <c r="E32" s="10" t="s">
        <v>5</v>
      </c>
      <c r="F32" s="10" t="s">
        <v>6</v>
      </c>
      <c r="G32" s="96" t="s">
        <v>7</v>
      </c>
      <c r="H32" s="94"/>
      <c r="I32" s="95"/>
      <c r="J32" s="96" t="s">
        <v>8</v>
      </c>
      <c r="K32" s="94"/>
      <c r="L32" s="95"/>
      <c r="M32" s="96" t="s">
        <v>10</v>
      </c>
      <c r="N32" s="94"/>
      <c r="O32" s="95"/>
      <c r="P32" s="96" t="s">
        <v>11</v>
      </c>
      <c r="Q32" s="95"/>
      <c r="R32" s="10" t="s">
        <v>9</v>
      </c>
      <c r="S32" s="10" t="s">
        <v>12</v>
      </c>
      <c r="T32" s="10" t="s">
        <v>13</v>
      </c>
      <c r="U32" s="101">
        <f ca="1">ROUNDDOWN(SUM(D34, E33, G34, J34, M34, P34, R34, S33, T33), -1)</f>
        <v>3413890</v>
      </c>
      <c r="V32" s="102"/>
      <c r="W32" s="103"/>
    </row>
    <row r="33" spans="1:23">
      <c r="A33" s="56" t="s">
        <v>1</v>
      </c>
      <c r="B33" s="17">
        <v>46122</v>
      </c>
      <c r="C33" s="10">
        <v>209</v>
      </c>
      <c r="D33" s="11">
        <v>10320</v>
      </c>
      <c r="E33" s="12"/>
      <c r="F33" s="12"/>
      <c r="G33" s="13">
        <v>5</v>
      </c>
      <c r="H33" s="13">
        <f>G33*365/84</f>
        <v>21.726190476190474</v>
      </c>
      <c r="I33" s="11">
        <f>B31 * 1.5</f>
        <v>15480</v>
      </c>
      <c r="J33" s="58">
        <v>9</v>
      </c>
      <c r="K33" s="10">
        <f>J33*365/84</f>
        <v>39.107142857142854</v>
      </c>
      <c r="L33" s="11">
        <f>B31 * 1.5</f>
        <v>15480</v>
      </c>
      <c r="M33" s="10">
        <v>9</v>
      </c>
      <c r="N33" s="10">
        <f>M33*365/84</f>
        <v>39.107142857142854</v>
      </c>
      <c r="O33" s="15">
        <f>B31*0.5</f>
        <v>5160</v>
      </c>
      <c r="P33" s="54">
        <f>B31 * 12</f>
        <v>123840</v>
      </c>
      <c r="Q33" s="10">
        <f ca="1">IF(DATEDIF(B33, EOMONTH(NOW(), 0), "Y") &lt; 1, 11, MIN(25, 15 + INT((DATEDIF(B33, EOMONTH(NOW(), 0), "Y") - 1) / 2)))</f>
        <v>11</v>
      </c>
      <c r="R33" s="16"/>
      <c r="S33" s="81"/>
      <c r="T33" s="83"/>
      <c r="U33" s="104"/>
      <c r="V33" s="105"/>
      <c r="W33" s="106"/>
    </row>
    <row r="34" spans="1:23">
      <c r="A34" s="18">
        <f ca="1">U32/C34</f>
        <v>11370.158201498751</v>
      </c>
      <c r="B34" s="4" t="s">
        <v>17</v>
      </c>
      <c r="C34" s="10">
        <f>SUM(C33, H33*1.5, K33*1.5)</f>
        <v>300.25</v>
      </c>
      <c r="D34" s="87">
        <f>(D33 * 209) + E33 + F33</f>
        <v>2156880</v>
      </c>
      <c r="E34" s="97"/>
      <c r="F34" s="88"/>
      <c r="G34" s="87">
        <f>H33 * I33</f>
        <v>336321.42857142852</v>
      </c>
      <c r="H34" s="97"/>
      <c r="I34" s="88"/>
      <c r="J34" s="87">
        <f>K33 * L33</f>
        <v>605378.57142857136</v>
      </c>
      <c r="K34" s="97"/>
      <c r="L34" s="88"/>
      <c r="M34" s="98">
        <f>N33*O33</f>
        <v>201792.85714285713</v>
      </c>
      <c r="N34" s="99"/>
      <c r="O34" s="100"/>
      <c r="P34" s="87">
        <f ca="1">ROUND((P33 * Q33) / 12, -1)</f>
        <v>113520</v>
      </c>
      <c r="Q34" s="88"/>
      <c r="R34" s="15">
        <f>B31*0.5*R33</f>
        <v>0</v>
      </c>
      <c r="S34" s="82"/>
      <c r="T34" s="84"/>
      <c r="U34" s="10" t="s">
        <v>19</v>
      </c>
      <c r="V34" s="87">
        <f>D34+F33+G34+L34+M34</f>
        <v>2694994.2857142859</v>
      </c>
      <c r="W34" s="88"/>
    </row>
    <row r="37" spans="1:23">
      <c r="A37" s="2" t="s">
        <v>16</v>
      </c>
      <c r="B37" s="3">
        <f>( (D39 * 209) + F39 ) / 209</f>
        <v>12473.110047846891</v>
      </c>
      <c r="C37" s="93" t="s">
        <v>3</v>
      </c>
      <c r="D37" s="94"/>
      <c r="E37" s="94"/>
      <c r="F37" s="95"/>
      <c r="G37" s="96" t="s">
        <v>14</v>
      </c>
      <c r="H37" s="94"/>
      <c r="I37" s="94"/>
      <c r="J37" s="94"/>
      <c r="K37" s="94"/>
      <c r="L37" s="94"/>
      <c r="M37" s="94"/>
      <c r="N37" s="94"/>
      <c r="O37" s="94"/>
      <c r="P37" s="94"/>
      <c r="Q37" s="95"/>
      <c r="R37" s="96" t="s">
        <v>15</v>
      </c>
      <c r="S37" s="94"/>
      <c r="T37" s="95"/>
      <c r="U37" s="96" t="s">
        <v>18</v>
      </c>
      <c r="V37" s="94"/>
      <c r="W37" s="95"/>
    </row>
    <row r="38" spans="1:23">
      <c r="A38" s="8" t="s">
        <v>0</v>
      </c>
      <c r="B38" s="4" t="s">
        <v>90</v>
      </c>
      <c r="C38" s="93" t="s">
        <v>4</v>
      </c>
      <c r="D38" s="95"/>
      <c r="E38" s="10" t="s">
        <v>5</v>
      </c>
      <c r="F38" s="10" t="s">
        <v>6</v>
      </c>
      <c r="G38" s="96" t="s">
        <v>7</v>
      </c>
      <c r="H38" s="94"/>
      <c r="I38" s="95"/>
      <c r="J38" s="96" t="s">
        <v>8</v>
      </c>
      <c r="K38" s="94"/>
      <c r="L38" s="95"/>
      <c r="M38" s="96" t="s">
        <v>10</v>
      </c>
      <c r="N38" s="94"/>
      <c r="O38" s="95"/>
      <c r="P38" s="96" t="s">
        <v>11</v>
      </c>
      <c r="Q38" s="95"/>
      <c r="R38" s="10" t="s">
        <v>9</v>
      </c>
      <c r="S38" s="10" t="s">
        <v>12</v>
      </c>
      <c r="T38" s="10" t="s">
        <v>13</v>
      </c>
      <c r="U38" s="101">
        <f ca="1">ROUNDDOWN(SUM(D40, E39, G40, J40, M40, P40, R40, S39, T39), -1)</f>
        <v>4600000</v>
      </c>
      <c r="V38" s="102"/>
      <c r="W38" s="103"/>
    </row>
    <row r="39" spans="1:23">
      <c r="A39" s="8" t="s">
        <v>1</v>
      </c>
      <c r="B39" s="17">
        <v>44986</v>
      </c>
      <c r="C39" s="10">
        <v>209</v>
      </c>
      <c r="D39" s="11">
        <v>10320</v>
      </c>
      <c r="E39" s="12">
        <v>200000</v>
      </c>
      <c r="F39" s="12">
        <v>450000</v>
      </c>
      <c r="G39" s="13">
        <v>7.5</v>
      </c>
      <c r="H39" s="13">
        <f>G39*365/84</f>
        <v>32.589285714285715</v>
      </c>
      <c r="I39" s="11">
        <f>B37 * 1.5</f>
        <v>18709.665071770338</v>
      </c>
      <c r="J39" s="58">
        <v>9.5</v>
      </c>
      <c r="K39" s="10">
        <f>J39*365/84</f>
        <v>41.279761904761905</v>
      </c>
      <c r="L39" s="11">
        <f>B37 * 1.5</f>
        <v>18709.665071770338</v>
      </c>
      <c r="M39" s="10"/>
      <c r="N39" s="10">
        <v>0</v>
      </c>
      <c r="O39" s="15">
        <f>B37*0.5</f>
        <v>6236.5550239234453</v>
      </c>
      <c r="P39" s="54">
        <f>B37*12</f>
        <v>149677.3205741627</v>
      </c>
      <c r="Q39" s="10">
        <f ca="1">IF(DATEDIF(B39, EOMONTH(NOW(), 0), "Y") &lt; 1, 11, MIN(25, 15 + INT((DATEDIF(B39, EOMONTH(NOW(), 0), "Y") - 1) / 2)))</f>
        <v>16</v>
      </c>
      <c r="R39" s="16"/>
      <c r="S39" s="81">
        <v>211490</v>
      </c>
      <c r="T39" s="83"/>
      <c r="U39" s="104"/>
      <c r="V39" s="105"/>
      <c r="W39" s="106"/>
    </row>
    <row r="40" spans="1:23">
      <c r="A40" s="18">
        <f ca="1">U38/C40</f>
        <v>14383.829359539895</v>
      </c>
      <c r="B40" s="4" t="s">
        <v>91</v>
      </c>
      <c r="C40" s="10">
        <f>SUM(C39, H39*1.5, K39*1.5)</f>
        <v>319.80357142857144</v>
      </c>
      <c r="D40" s="87">
        <f>(D39 * 209) + F39</f>
        <v>2606880</v>
      </c>
      <c r="E40" s="97"/>
      <c r="F40" s="88"/>
      <c r="G40" s="87">
        <f>H39 * I39</f>
        <v>609734.62064251548</v>
      </c>
      <c r="H40" s="97"/>
      <c r="I40" s="88"/>
      <c r="J40" s="87">
        <f>K39 * L39</f>
        <v>772330.51948051958</v>
      </c>
      <c r="K40" s="97"/>
      <c r="L40" s="88"/>
      <c r="M40" s="98">
        <f>N39*O39</f>
        <v>0</v>
      </c>
      <c r="N40" s="99"/>
      <c r="O40" s="100"/>
      <c r="P40" s="87">
        <f ca="1">ROUND((P39 * Q39) / 12, -1)</f>
        <v>199570</v>
      </c>
      <c r="Q40" s="88"/>
      <c r="R40" s="15">
        <f>B37*0.5*R39</f>
        <v>0</v>
      </c>
      <c r="S40" s="82"/>
      <c r="T40" s="84"/>
      <c r="U40" s="10" t="s">
        <v>19</v>
      </c>
      <c r="V40" s="87">
        <f ca="1">D40+G40+L40+M40+P40</f>
        <v>3416184.6206425154</v>
      </c>
      <c r="W40" s="88"/>
    </row>
    <row r="43" spans="1:23">
      <c r="A43" s="2" t="s">
        <v>88</v>
      </c>
      <c r="B43" s="3">
        <f>( (D45 * 209) + F45 ) / 209</f>
        <v>10320</v>
      </c>
      <c r="C43" s="93" t="s">
        <v>3</v>
      </c>
      <c r="D43" s="94"/>
      <c r="E43" s="94"/>
      <c r="F43" s="95"/>
      <c r="G43" s="96" t="s">
        <v>14</v>
      </c>
      <c r="H43" s="94"/>
      <c r="I43" s="94"/>
      <c r="J43" s="94"/>
      <c r="K43" s="94"/>
      <c r="L43" s="94"/>
      <c r="M43" s="94"/>
      <c r="N43" s="94"/>
      <c r="O43" s="94"/>
      <c r="P43" s="94"/>
      <c r="Q43" s="95"/>
      <c r="R43" s="96" t="s">
        <v>15</v>
      </c>
      <c r="S43" s="94"/>
      <c r="T43" s="95"/>
      <c r="U43" s="96" t="s">
        <v>18</v>
      </c>
      <c r="V43" s="94"/>
      <c r="W43" s="95"/>
    </row>
    <row r="44" spans="1:23">
      <c r="A44" s="55" t="s">
        <v>89</v>
      </c>
      <c r="B44" s="4" t="s">
        <v>2</v>
      </c>
      <c r="C44" s="93" t="s">
        <v>4</v>
      </c>
      <c r="D44" s="95"/>
      <c r="E44" s="10" t="s">
        <v>5</v>
      </c>
      <c r="F44" s="10" t="s">
        <v>6</v>
      </c>
      <c r="G44" s="96" t="s">
        <v>7</v>
      </c>
      <c r="H44" s="94"/>
      <c r="I44" s="95"/>
      <c r="J44" s="96" t="s">
        <v>8</v>
      </c>
      <c r="K44" s="94"/>
      <c r="L44" s="95"/>
      <c r="M44" s="96" t="s">
        <v>10</v>
      </c>
      <c r="N44" s="94"/>
      <c r="O44" s="95"/>
      <c r="P44" s="96" t="s">
        <v>11</v>
      </c>
      <c r="Q44" s="95"/>
      <c r="R44" s="10" t="s">
        <v>9</v>
      </c>
      <c r="S44" s="10" t="s">
        <v>12</v>
      </c>
      <c r="T44" s="10" t="s">
        <v>13</v>
      </c>
      <c r="U44" s="101">
        <f ca="1">ROUNDDOWN(SUM(D46, E45, G46, J46, M46, P46, R46, S45, T45), -1)</f>
        <v>3413890</v>
      </c>
      <c r="V44" s="102"/>
      <c r="W44" s="103"/>
    </row>
    <row r="45" spans="1:23">
      <c r="A45" s="56" t="s">
        <v>1</v>
      </c>
      <c r="B45" s="17">
        <v>46122</v>
      </c>
      <c r="C45" s="10">
        <v>209</v>
      </c>
      <c r="D45" s="11">
        <v>10320</v>
      </c>
      <c r="E45" s="12"/>
      <c r="F45" s="12"/>
      <c r="G45" s="13">
        <v>5</v>
      </c>
      <c r="H45" s="13">
        <f>G45*365/84</f>
        <v>21.726190476190474</v>
      </c>
      <c r="I45" s="11">
        <f>B43 * 1.5</f>
        <v>15480</v>
      </c>
      <c r="J45" s="58">
        <v>9</v>
      </c>
      <c r="K45" s="10">
        <f>J45*365/84</f>
        <v>39.107142857142854</v>
      </c>
      <c r="L45" s="11">
        <f>B43 * 1.5</f>
        <v>15480</v>
      </c>
      <c r="M45" s="10">
        <v>9</v>
      </c>
      <c r="N45" s="10">
        <f>M45*365/84</f>
        <v>39.107142857142854</v>
      </c>
      <c r="O45" s="15">
        <f>B43*0.5</f>
        <v>5160</v>
      </c>
      <c r="P45" s="54">
        <f>B43 * 12</f>
        <v>123840</v>
      </c>
      <c r="Q45" s="10">
        <f ca="1">IF(DATEDIF(B45, EOMONTH(NOW(), 0), "Y") &lt; 1, 11, MIN(25, 15 + INT((DATEDIF(B45, EOMONTH(NOW(), 0), "Y") - 1) / 2)))</f>
        <v>11</v>
      </c>
      <c r="R45" s="16"/>
      <c r="S45" s="81"/>
      <c r="T45" s="83"/>
      <c r="U45" s="104"/>
      <c r="V45" s="105"/>
      <c r="W45" s="106"/>
    </row>
    <row r="46" spans="1:23">
      <c r="A46" s="18">
        <f ca="1">U44/C46</f>
        <v>11370.158201498751</v>
      </c>
      <c r="B46" s="4" t="s">
        <v>17</v>
      </c>
      <c r="C46" s="10">
        <f>SUM(C45, H45*1.5, K45*1.5)</f>
        <v>300.25</v>
      </c>
      <c r="D46" s="87">
        <f>(D45 * 209) + F45</f>
        <v>2156880</v>
      </c>
      <c r="E46" s="97"/>
      <c r="F46" s="88"/>
      <c r="G46" s="87">
        <f>H45 * I45</f>
        <v>336321.42857142852</v>
      </c>
      <c r="H46" s="97"/>
      <c r="I46" s="88"/>
      <c r="J46" s="87">
        <f>K45 * L45</f>
        <v>605378.57142857136</v>
      </c>
      <c r="K46" s="97"/>
      <c r="L46" s="88"/>
      <c r="M46" s="98">
        <f>N45*O45</f>
        <v>201792.85714285713</v>
      </c>
      <c r="N46" s="99"/>
      <c r="O46" s="100"/>
      <c r="P46" s="87">
        <f ca="1">ROUND((P45 * Q45) / 12, -1)</f>
        <v>113520</v>
      </c>
      <c r="Q46" s="88"/>
      <c r="R46" s="15">
        <f>B43*0.5*R45</f>
        <v>0</v>
      </c>
      <c r="S46" s="82"/>
      <c r="T46" s="84"/>
      <c r="U46" s="10" t="s">
        <v>19</v>
      </c>
      <c r="V46" s="87">
        <f>D46+F45+G46+L46+M46</f>
        <v>2694994.2857142859</v>
      </c>
      <c r="W46" s="88"/>
    </row>
    <row r="49" spans="1:23">
      <c r="A49" s="2" t="s">
        <v>88</v>
      </c>
      <c r="B49" s="3">
        <f>( (D51 * 209) + F51 ) / 209</f>
        <v>10320</v>
      </c>
      <c r="C49" s="93" t="s">
        <v>3</v>
      </c>
      <c r="D49" s="94"/>
      <c r="E49" s="94"/>
      <c r="F49" s="95"/>
      <c r="G49" s="96" t="s">
        <v>14</v>
      </c>
      <c r="H49" s="94"/>
      <c r="I49" s="94"/>
      <c r="J49" s="94"/>
      <c r="K49" s="94"/>
      <c r="L49" s="94"/>
      <c r="M49" s="94"/>
      <c r="N49" s="94"/>
      <c r="O49" s="94"/>
      <c r="P49" s="94"/>
      <c r="Q49" s="95"/>
      <c r="R49" s="96" t="s">
        <v>15</v>
      </c>
      <c r="S49" s="94"/>
      <c r="T49" s="95"/>
      <c r="U49" s="96" t="s">
        <v>18</v>
      </c>
      <c r="V49" s="94"/>
      <c r="W49" s="95"/>
    </row>
    <row r="50" spans="1:23">
      <c r="A50" s="56" t="s">
        <v>92</v>
      </c>
      <c r="B50" s="4" t="s">
        <v>2</v>
      </c>
      <c r="C50" s="93" t="s">
        <v>4</v>
      </c>
      <c r="D50" s="95"/>
      <c r="E50" s="10" t="s">
        <v>5</v>
      </c>
      <c r="F50" s="10" t="s">
        <v>6</v>
      </c>
      <c r="G50" s="96" t="s">
        <v>7</v>
      </c>
      <c r="H50" s="94"/>
      <c r="I50" s="95"/>
      <c r="J50" s="96" t="s">
        <v>8</v>
      </c>
      <c r="K50" s="94"/>
      <c r="L50" s="95"/>
      <c r="M50" s="96" t="s">
        <v>10</v>
      </c>
      <c r="N50" s="94"/>
      <c r="O50" s="95"/>
      <c r="P50" s="96" t="s">
        <v>11</v>
      </c>
      <c r="Q50" s="95"/>
      <c r="R50" s="10" t="s">
        <v>9</v>
      </c>
      <c r="S50" s="10" t="s">
        <v>12</v>
      </c>
      <c r="T50" s="10" t="s">
        <v>13</v>
      </c>
      <c r="U50" s="101">
        <f ca="1">ROUNDDOWN(SUM(D52, E51, G52, J52, M52, P52, R52, S51, T51), -1)</f>
        <v>1510000</v>
      </c>
      <c r="V50" s="102"/>
      <c r="W50" s="103"/>
    </row>
    <row r="51" spans="1:23">
      <c r="A51" s="56" t="s">
        <v>93</v>
      </c>
      <c r="B51" s="17">
        <v>46134</v>
      </c>
      <c r="C51" s="10">
        <v>141</v>
      </c>
      <c r="D51" s="11">
        <v>10320</v>
      </c>
      <c r="E51" s="12"/>
      <c r="F51" s="12"/>
      <c r="G51" s="13"/>
      <c r="H51" s="13">
        <f>G51*365/84</f>
        <v>0</v>
      </c>
      <c r="I51" s="11">
        <f>B49 * 1.5</f>
        <v>15480</v>
      </c>
      <c r="J51" s="58"/>
      <c r="K51" s="10">
        <f>J51*365/84</f>
        <v>0</v>
      </c>
      <c r="L51" s="11">
        <f>B49 * 1.5</f>
        <v>15480</v>
      </c>
      <c r="M51" s="10"/>
      <c r="N51" s="10">
        <f>M51*365/84</f>
        <v>0</v>
      </c>
      <c r="O51" s="15">
        <f>B49*0.5</f>
        <v>5160</v>
      </c>
      <c r="P51" s="54">
        <f>B49 * 5</f>
        <v>51600</v>
      </c>
      <c r="Q51" s="10">
        <f ca="1">IF(DATEDIF(B51, EOMONTH(NOW(), 0), "Y") &lt; 1, 11, MIN(25, 15 + INT((DATEDIF(B51, EOMONTH(NOW(), 0), "Y") - 1) / 2)))</f>
        <v>11</v>
      </c>
      <c r="R51" s="16"/>
      <c r="S51" s="81">
        <v>7580</v>
      </c>
      <c r="T51" s="83"/>
      <c r="U51" s="104"/>
      <c r="V51" s="105"/>
      <c r="W51" s="106"/>
    </row>
    <row r="52" spans="1:23">
      <c r="A52" s="18">
        <f ca="1">U50/C52</f>
        <v>10709.219858156028</v>
      </c>
      <c r="B52" s="4" t="s">
        <v>17</v>
      </c>
      <c r="C52" s="10">
        <f>SUM(C51, H51*1.5, K51*1.5)</f>
        <v>141</v>
      </c>
      <c r="D52" s="87">
        <f>(D51 * C51)  + F51</f>
        <v>1455120</v>
      </c>
      <c r="E52" s="97"/>
      <c r="F52" s="88"/>
      <c r="G52" s="87">
        <f>H51 * I51</f>
        <v>0</v>
      </c>
      <c r="H52" s="97"/>
      <c r="I52" s="88"/>
      <c r="J52" s="87">
        <f>K51 * L51</f>
        <v>0</v>
      </c>
      <c r="K52" s="97"/>
      <c r="L52" s="88"/>
      <c r="M52" s="98">
        <f>N51*O51</f>
        <v>0</v>
      </c>
      <c r="N52" s="99"/>
      <c r="O52" s="100"/>
      <c r="P52" s="87">
        <f ca="1">ROUND((P51 * Q51) / 12, -1)</f>
        <v>47300</v>
      </c>
      <c r="Q52" s="88"/>
      <c r="R52" s="15">
        <f>B49*0.5*R51</f>
        <v>0</v>
      </c>
      <c r="S52" s="82"/>
      <c r="T52" s="84"/>
      <c r="U52" s="10" t="s">
        <v>19</v>
      </c>
      <c r="V52" s="87">
        <f>D52+F51+G52+L52+M52</f>
        <v>1455120</v>
      </c>
      <c r="W52" s="88"/>
    </row>
    <row r="55" spans="1:23">
      <c r="A55" s="2" t="s">
        <v>88</v>
      </c>
      <c r="B55" s="3">
        <f>( (D57 * 209) + F57 ) / 209</f>
        <v>10320</v>
      </c>
      <c r="C55" s="93" t="s">
        <v>3</v>
      </c>
      <c r="D55" s="94"/>
      <c r="E55" s="94"/>
      <c r="F55" s="95"/>
      <c r="G55" s="96" t="s">
        <v>14</v>
      </c>
      <c r="H55" s="94"/>
      <c r="I55" s="94"/>
      <c r="J55" s="94"/>
      <c r="K55" s="94"/>
      <c r="L55" s="94"/>
      <c r="M55" s="94"/>
      <c r="N55" s="94"/>
      <c r="O55" s="94"/>
      <c r="P55" s="94"/>
      <c r="Q55" s="95"/>
      <c r="R55" s="96" t="s">
        <v>15</v>
      </c>
      <c r="S55" s="94"/>
      <c r="T55" s="95"/>
      <c r="U55" s="96" t="s">
        <v>18</v>
      </c>
      <c r="V55" s="94"/>
      <c r="W55" s="95"/>
    </row>
    <row r="56" spans="1:23">
      <c r="A56" s="56" t="s">
        <v>92</v>
      </c>
      <c r="B56" s="4" t="s">
        <v>2</v>
      </c>
      <c r="C56" s="93" t="s">
        <v>4</v>
      </c>
      <c r="D56" s="95"/>
      <c r="E56" s="10" t="s">
        <v>5</v>
      </c>
      <c r="F56" s="10" t="s">
        <v>6</v>
      </c>
      <c r="G56" s="96" t="s">
        <v>7</v>
      </c>
      <c r="H56" s="94"/>
      <c r="I56" s="95"/>
      <c r="J56" s="96" t="s">
        <v>8</v>
      </c>
      <c r="K56" s="94"/>
      <c r="L56" s="95"/>
      <c r="M56" s="96" t="s">
        <v>10</v>
      </c>
      <c r="N56" s="94"/>
      <c r="O56" s="95"/>
      <c r="P56" s="96" t="s">
        <v>11</v>
      </c>
      <c r="Q56" s="95"/>
      <c r="R56" s="10" t="s">
        <v>9</v>
      </c>
      <c r="S56" s="10" t="s">
        <v>12</v>
      </c>
      <c r="T56" s="10" t="s">
        <v>13</v>
      </c>
      <c r="U56" s="101">
        <f ca="1">ROUNDDOWN(SUM(D58, E57, G58, J58, M58, P58, R58, S57, T57), -1)</f>
        <v>1564950</v>
      </c>
      <c r="V56" s="102"/>
      <c r="W56" s="103"/>
    </row>
    <row r="57" spans="1:23">
      <c r="A57" s="56" t="s">
        <v>94</v>
      </c>
      <c r="B57" s="17">
        <v>46122</v>
      </c>
      <c r="C57" s="10">
        <v>141</v>
      </c>
      <c r="D57" s="11">
        <v>10320</v>
      </c>
      <c r="E57" s="12"/>
      <c r="F57" s="12"/>
      <c r="G57" s="13"/>
      <c r="H57" s="13">
        <f>G57*365/84</f>
        <v>0</v>
      </c>
      <c r="I57" s="11">
        <f>B55 * 1.5</f>
        <v>15480</v>
      </c>
      <c r="J57" s="58"/>
      <c r="K57" s="10">
        <f>J57*365/84</f>
        <v>0</v>
      </c>
      <c r="L57" s="11">
        <f>B55 * 1.5</f>
        <v>15480</v>
      </c>
      <c r="M57" s="10">
        <v>3</v>
      </c>
      <c r="N57" s="10">
        <f>M57*365/84</f>
        <v>13.035714285714286</v>
      </c>
      <c r="O57" s="15">
        <f>B55*0.5</f>
        <v>5160</v>
      </c>
      <c r="P57" s="54">
        <f>B55 * 4.5</f>
        <v>46440</v>
      </c>
      <c r="Q57" s="10">
        <f ca="1">IF(DATEDIF(B57, EOMONTH(NOW(), 0), "Y") &lt; 1, 11, MIN(25, 15 + INT((DATEDIF(B57, EOMONTH(NOW(), 0), "Y") - 1) / 2)))</f>
        <v>11</v>
      </c>
      <c r="R57" s="16"/>
      <c r="S57" s="81"/>
      <c r="T57" s="83"/>
      <c r="U57" s="104"/>
      <c r="V57" s="105"/>
      <c r="W57" s="106"/>
    </row>
    <row r="58" spans="1:23">
      <c r="A58" s="18">
        <f ca="1">U56/C58</f>
        <v>11098.936170212766</v>
      </c>
      <c r="B58" s="4" t="s">
        <v>17</v>
      </c>
      <c r="C58" s="10">
        <f>SUM(C57, H57*1.5, K57*1.5)</f>
        <v>141</v>
      </c>
      <c r="D58" s="87">
        <f>(D57 * C57)  + F57</f>
        <v>1455120</v>
      </c>
      <c r="E58" s="97"/>
      <c r="F58" s="88"/>
      <c r="G58" s="87">
        <f>H57 * I57</f>
        <v>0</v>
      </c>
      <c r="H58" s="97"/>
      <c r="I58" s="88"/>
      <c r="J58" s="87">
        <f>K57 * L57</f>
        <v>0</v>
      </c>
      <c r="K58" s="97"/>
      <c r="L58" s="88"/>
      <c r="M58" s="98">
        <f>N57*O57</f>
        <v>67264.285714285725</v>
      </c>
      <c r="N58" s="99"/>
      <c r="O58" s="100"/>
      <c r="P58" s="87">
        <f ca="1">ROUND((P57 * Q57) / 12, -1)</f>
        <v>42570</v>
      </c>
      <c r="Q58" s="88"/>
      <c r="R58" s="15">
        <f>B55*0.5*R57</f>
        <v>0</v>
      </c>
      <c r="S58" s="82"/>
      <c r="T58" s="84"/>
      <c r="U58" s="10" t="s">
        <v>19</v>
      </c>
      <c r="V58" s="87">
        <f>D58+F57+G58+L58+M58</f>
        <v>1522384.2857142857</v>
      </c>
      <c r="W58" s="88"/>
    </row>
    <row r="61" spans="1:23">
      <c r="A61" s="2" t="s">
        <v>88</v>
      </c>
      <c r="B61" s="3">
        <f>( (D63 * 209) + F63 ) / 209</f>
        <v>10320</v>
      </c>
      <c r="C61" s="93" t="s">
        <v>3</v>
      </c>
      <c r="D61" s="94"/>
      <c r="E61" s="94"/>
      <c r="F61" s="95"/>
      <c r="G61" s="96" t="s">
        <v>14</v>
      </c>
      <c r="H61" s="94"/>
      <c r="I61" s="94"/>
      <c r="J61" s="94"/>
      <c r="K61" s="94"/>
      <c r="L61" s="94"/>
      <c r="M61" s="94"/>
      <c r="N61" s="94"/>
      <c r="O61" s="94"/>
      <c r="P61" s="94"/>
      <c r="Q61" s="95"/>
      <c r="R61" s="96" t="s">
        <v>15</v>
      </c>
      <c r="S61" s="94"/>
      <c r="T61" s="95"/>
      <c r="U61" s="96" t="s">
        <v>18</v>
      </c>
      <c r="V61" s="94"/>
      <c r="W61" s="95"/>
    </row>
    <row r="62" spans="1:23">
      <c r="A62" s="55" t="s">
        <v>89</v>
      </c>
      <c r="B62" s="4" t="s">
        <v>2</v>
      </c>
      <c r="C62" s="93" t="s">
        <v>4</v>
      </c>
      <c r="D62" s="95"/>
      <c r="E62" s="10" t="s">
        <v>5</v>
      </c>
      <c r="F62" s="10" t="s">
        <v>6</v>
      </c>
      <c r="G62" s="96" t="s">
        <v>7</v>
      </c>
      <c r="H62" s="94"/>
      <c r="I62" s="95"/>
      <c r="J62" s="96" t="s">
        <v>8</v>
      </c>
      <c r="K62" s="94"/>
      <c r="L62" s="95"/>
      <c r="M62" s="96" t="s">
        <v>10</v>
      </c>
      <c r="N62" s="94"/>
      <c r="O62" s="95"/>
      <c r="P62" s="96" t="s">
        <v>11</v>
      </c>
      <c r="Q62" s="95"/>
      <c r="R62" s="10" t="s">
        <v>9</v>
      </c>
      <c r="S62" s="10" t="s">
        <v>12</v>
      </c>
      <c r="T62" s="10" t="s">
        <v>13</v>
      </c>
      <c r="U62" s="101">
        <f ca="1">ROUNDDOWN(SUM(D64, E63, G64, J64, M64, P64, R64, S63, T63), -1)</f>
        <v>3300000</v>
      </c>
      <c r="V62" s="102"/>
      <c r="W62" s="103"/>
    </row>
    <row r="63" spans="1:23">
      <c r="A63" s="56" t="s">
        <v>1</v>
      </c>
      <c r="B63" s="17">
        <v>46122</v>
      </c>
      <c r="C63" s="10">
        <v>209</v>
      </c>
      <c r="D63" s="11">
        <v>10320</v>
      </c>
      <c r="E63" s="12"/>
      <c r="F63" s="12"/>
      <c r="G63" s="13">
        <v>5</v>
      </c>
      <c r="H63" s="13">
        <f>G63*365/84</f>
        <v>21.726190476190474</v>
      </c>
      <c r="I63" s="11">
        <f>B61 * 1.5</f>
        <v>15480</v>
      </c>
      <c r="J63" s="58">
        <v>9</v>
      </c>
      <c r="K63" s="10">
        <f>J63*365/84</f>
        <v>39.107142857142854</v>
      </c>
      <c r="L63" s="11">
        <f>B61 * 1.5</f>
        <v>15480</v>
      </c>
      <c r="M63" s="10"/>
      <c r="N63" s="10">
        <f>M63*365/84</f>
        <v>0</v>
      </c>
      <c r="O63" s="15">
        <f>B61*0.5</f>
        <v>5160</v>
      </c>
      <c r="P63" s="54">
        <f>B61 * 12</f>
        <v>123840</v>
      </c>
      <c r="Q63" s="10">
        <f ca="1">IF(DATEDIF(B63, EOMONTH(NOW(), 0), "Y") &lt; 1, 11, MIN(25, 15 + INT((DATEDIF(B63, EOMONTH(NOW(), 0), "Y") - 1) / 2)))</f>
        <v>11</v>
      </c>
      <c r="R63" s="16"/>
      <c r="S63" s="81">
        <v>87900</v>
      </c>
      <c r="T63" s="83"/>
      <c r="U63" s="104"/>
      <c r="V63" s="105"/>
      <c r="W63" s="106"/>
    </row>
    <row r="64" spans="1:23">
      <c r="A64" s="18">
        <f ca="1">U62/C64</f>
        <v>10990.840965861782</v>
      </c>
      <c r="B64" s="4" t="s">
        <v>17</v>
      </c>
      <c r="C64" s="10">
        <f>SUM(C63, H63*1.5, K63*1.5)</f>
        <v>300.25</v>
      </c>
      <c r="D64" s="87">
        <f>(D63 * 209)  + F63</f>
        <v>2156880</v>
      </c>
      <c r="E64" s="97"/>
      <c r="F64" s="88"/>
      <c r="G64" s="87">
        <f>H63 * I63</f>
        <v>336321.42857142852</v>
      </c>
      <c r="H64" s="97"/>
      <c r="I64" s="88"/>
      <c r="J64" s="87">
        <f>K63 * L63</f>
        <v>605378.57142857136</v>
      </c>
      <c r="K64" s="97"/>
      <c r="L64" s="88"/>
      <c r="M64" s="98">
        <f>N63*O63</f>
        <v>0</v>
      </c>
      <c r="N64" s="99"/>
      <c r="O64" s="100"/>
      <c r="P64" s="87">
        <f ca="1">ROUND((P63 * Q63) / 12, -1)</f>
        <v>113520</v>
      </c>
      <c r="Q64" s="88"/>
      <c r="R64" s="15">
        <f>B61*0.5*R63</f>
        <v>0</v>
      </c>
      <c r="S64" s="82"/>
      <c r="T64" s="84"/>
      <c r="U64" s="10" t="s">
        <v>19</v>
      </c>
      <c r="V64" s="87">
        <f>D64+F63+G64+L64+M64</f>
        <v>2493201.4285714286</v>
      </c>
      <c r="W64" s="88"/>
    </row>
    <row r="67" spans="1:23">
      <c r="A67" s="2" t="s">
        <v>16</v>
      </c>
      <c r="B67" s="20">
        <f>( (D69 * 209) + F69 ) / 209</f>
        <v>10320</v>
      </c>
      <c r="C67" s="93" t="s">
        <v>3</v>
      </c>
      <c r="D67" s="94"/>
      <c r="E67" s="94"/>
      <c r="F67" s="95"/>
      <c r="G67" s="96" t="s">
        <v>14</v>
      </c>
      <c r="H67" s="94"/>
      <c r="I67" s="94"/>
      <c r="J67" s="94"/>
      <c r="K67" s="94"/>
      <c r="L67" s="94"/>
      <c r="M67" s="94"/>
      <c r="N67" s="94"/>
      <c r="O67" s="94"/>
      <c r="P67" s="94"/>
      <c r="Q67" s="95"/>
      <c r="R67" s="96" t="s">
        <v>15</v>
      </c>
      <c r="S67" s="94"/>
      <c r="T67" s="95"/>
      <c r="U67" s="96" t="s">
        <v>18</v>
      </c>
      <c r="V67" s="94"/>
      <c r="W67" s="95"/>
    </row>
    <row r="68" spans="1:23">
      <c r="A68" s="9" t="s">
        <v>20</v>
      </c>
      <c r="B68" s="2" t="s">
        <v>24</v>
      </c>
      <c r="C68" s="93" t="s">
        <v>4</v>
      </c>
      <c r="D68" s="95"/>
      <c r="E68" s="10" t="s">
        <v>5</v>
      </c>
      <c r="F68" s="10" t="s">
        <v>6</v>
      </c>
      <c r="G68" s="96" t="s">
        <v>7</v>
      </c>
      <c r="H68" s="94"/>
      <c r="I68" s="95"/>
      <c r="J68" s="96" t="s">
        <v>8</v>
      </c>
      <c r="K68" s="94"/>
      <c r="L68" s="95"/>
      <c r="M68" s="96" t="s">
        <v>10</v>
      </c>
      <c r="N68" s="94"/>
      <c r="O68" s="95"/>
      <c r="P68" s="96" t="s">
        <v>11</v>
      </c>
      <c r="Q68" s="95"/>
      <c r="R68" s="10" t="s">
        <v>9</v>
      </c>
      <c r="S68" s="10" t="s">
        <v>12</v>
      </c>
      <c r="T68" s="10" t="s">
        <v>13</v>
      </c>
      <c r="U68" s="101">
        <f ca="1">ROUNDDOWN(SUM(D70, E69, G70, J70, M70, P70, R70, S69, T69), -1)</f>
        <v>3100000</v>
      </c>
      <c r="V68" s="102"/>
      <c r="W68" s="103"/>
    </row>
    <row r="69" spans="1:23">
      <c r="A69" s="9" t="s">
        <v>21</v>
      </c>
      <c r="B69" s="19">
        <v>46129</v>
      </c>
      <c r="C69" s="10">
        <v>209</v>
      </c>
      <c r="D69" s="11">
        <v>10320</v>
      </c>
      <c r="E69" s="21"/>
      <c r="F69" s="21"/>
      <c r="G69" s="13">
        <v>7.5</v>
      </c>
      <c r="H69" s="13">
        <f>G69*365/84</f>
        <v>32.589285714285715</v>
      </c>
      <c r="I69" s="11">
        <f>B67 * 1.5</f>
        <v>15480</v>
      </c>
      <c r="J69" s="58">
        <v>4.75</v>
      </c>
      <c r="K69" s="10">
        <f>J69*365/84</f>
        <v>20.639880952380953</v>
      </c>
      <c r="L69" s="11">
        <f>B67 * 1.5</f>
        <v>15480</v>
      </c>
      <c r="M69" s="10"/>
      <c r="N69" s="10">
        <v>0</v>
      </c>
      <c r="O69" s="15">
        <f>B67*0.5</f>
        <v>5160</v>
      </c>
      <c r="P69" s="54">
        <f>B67 * 12</f>
        <v>123840</v>
      </c>
      <c r="Q69" s="10">
        <f ca="1">IF(DATEDIF(B69, EOMONTH(NOW(), 0), "Y") &lt; 1, 11, MIN(25, 15 + INT((DATEDIF(B69, EOMONTH(NOW(), 0), "Y") - 1) / 2)))</f>
        <v>11</v>
      </c>
      <c r="R69" s="22"/>
      <c r="S69" s="89">
        <v>5620</v>
      </c>
      <c r="T69" s="91"/>
      <c r="U69" s="104"/>
      <c r="V69" s="105"/>
      <c r="W69" s="106"/>
    </row>
    <row r="70" spans="1:23">
      <c r="A70" s="18">
        <f ca="1">U68/C70</f>
        <v>10732.44617548415</v>
      </c>
      <c r="B70" s="2" t="s">
        <v>25</v>
      </c>
      <c r="C70" s="10">
        <f>SUM(C69, H69*1.5, K69*1.5)</f>
        <v>288.84375</v>
      </c>
      <c r="D70" s="87">
        <f>(D69 * 209) +  F69</f>
        <v>2156880</v>
      </c>
      <c r="E70" s="97"/>
      <c r="F70" s="88"/>
      <c r="G70" s="87">
        <f>H69 * I69</f>
        <v>504482.1428571429</v>
      </c>
      <c r="H70" s="97"/>
      <c r="I70" s="88"/>
      <c r="J70" s="87">
        <f>K69 * L69</f>
        <v>319505.35714285716</v>
      </c>
      <c r="K70" s="97"/>
      <c r="L70" s="88"/>
      <c r="M70" s="98">
        <f>N69*O69</f>
        <v>0</v>
      </c>
      <c r="N70" s="99"/>
      <c r="O70" s="100"/>
      <c r="P70" s="87">
        <f ca="1">ROUND((P69 * Q69) / 12, -1)</f>
        <v>113520</v>
      </c>
      <c r="Q70" s="88"/>
      <c r="R70" s="15">
        <f>B67*0.5*R69</f>
        <v>0</v>
      </c>
      <c r="S70" s="90"/>
      <c r="T70" s="92"/>
      <c r="U70" s="10" t="s">
        <v>19</v>
      </c>
      <c r="V70" s="87">
        <f>D70+F69+G70+L70+M70</f>
        <v>2661362.1428571427</v>
      </c>
      <c r="W70" s="88"/>
    </row>
    <row r="73" spans="1:23">
      <c r="A73" s="2" t="s">
        <v>88</v>
      </c>
      <c r="B73" s="3">
        <f>( (D75 * 209) + F75 ) / 209</f>
        <v>10320</v>
      </c>
      <c r="C73" s="93" t="s">
        <v>3</v>
      </c>
      <c r="D73" s="94"/>
      <c r="E73" s="94"/>
      <c r="F73" s="95"/>
      <c r="G73" s="96" t="s">
        <v>14</v>
      </c>
      <c r="H73" s="94"/>
      <c r="I73" s="94"/>
      <c r="J73" s="94"/>
      <c r="K73" s="94"/>
      <c r="L73" s="94"/>
      <c r="M73" s="94"/>
      <c r="N73" s="94"/>
      <c r="O73" s="94"/>
      <c r="P73" s="94"/>
      <c r="Q73" s="95"/>
      <c r="R73" s="96" t="s">
        <v>15</v>
      </c>
      <c r="S73" s="94"/>
      <c r="T73" s="95"/>
      <c r="U73" s="96" t="s">
        <v>18</v>
      </c>
      <c r="V73" s="94"/>
      <c r="W73" s="95"/>
    </row>
    <row r="74" spans="1:23">
      <c r="A74" s="56" t="s">
        <v>89</v>
      </c>
      <c r="B74" s="4" t="s">
        <v>2</v>
      </c>
      <c r="C74" s="93" t="s">
        <v>4</v>
      </c>
      <c r="D74" s="95"/>
      <c r="E74" s="10" t="s">
        <v>5</v>
      </c>
      <c r="F74" s="10" t="s">
        <v>6</v>
      </c>
      <c r="G74" s="96" t="s">
        <v>7</v>
      </c>
      <c r="H74" s="94"/>
      <c r="I74" s="95"/>
      <c r="J74" s="96" t="s">
        <v>8</v>
      </c>
      <c r="K74" s="94"/>
      <c r="L74" s="95"/>
      <c r="M74" s="96" t="s">
        <v>10</v>
      </c>
      <c r="N74" s="94"/>
      <c r="O74" s="95"/>
      <c r="P74" s="96" t="s">
        <v>11</v>
      </c>
      <c r="Q74" s="95"/>
      <c r="R74" s="10" t="s">
        <v>9</v>
      </c>
      <c r="S74" s="10" t="s">
        <v>12</v>
      </c>
      <c r="T74" s="10" t="s">
        <v>13</v>
      </c>
      <c r="U74" s="101">
        <f ca="1">ROUNDDOWN(SUM(D76, E75, G76, J76, M76, P76, R76, S75, T75), -1)</f>
        <v>3320000</v>
      </c>
      <c r="V74" s="102"/>
      <c r="W74" s="103"/>
    </row>
    <row r="75" spans="1:23">
      <c r="A75" s="56" t="s">
        <v>95</v>
      </c>
      <c r="B75" s="17">
        <v>46132</v>
      </c>
      <c r="C75" s="10">
        <v>209</v>
      </c>
      <c r="D75" s="11">
        <v>10320</v>
      </c>
      <c r="E75" s="12"/>
      <c r="F75" s="12"/>
      <c r="G75" s="13">
        <v>5</v>
      </c>
      <c r="H75" s="13">
        <f>G75*365/84</f>
        <v>21.726190476190474</v>
      </c>
      <c r="I75" s="11">
        <f>B73 * 1.5</f>
        <v>15480</v>
      </c>
      <c r="J75" s="58">
        <v>9</v>
      </c>
      <c r="K75" s="10">
        <f>J75*365/84</f>
        <v>39.107142857142854</v>
      </c>
      <c r="L75" s="11">
        <f>B73 * 1.5</f>
        <v>15480</v>
      </c>
      <c r="M75" s="10">
        <v>3</v>
      </c>
      <c r="N75" s="10">
        <f>M75*365/84</f>
        <v>13.035714285714286</v>
      </c>
      <c r="O75" s="15">
        <f>B73*0.5</f>
        <v>5160</v>
      </c>
      <c r="P75" s="54">
        <f>B73 * 12</f>
        <v>123840</v>
      </c>
      <c r="Q75" s="10">
        <f ca="1">IF(DATEDIF(B75, EOMONTH(NOW(), 0), "Y") &lt; 1, 11, MIN(25, 15 + INT((DATEDIF(B75, EOMONTH(NOW(), 0), "Y") - 1) / 2)))</f>
        <v>11</v>
      </c>
      <c r="R75" s="16"/>
      <c r="S75" s="81">
        <v>40640</v>
      </c>
      <c r="T75" s="83"/>
      <c r="U75" s="104"/>
      <c r="V75" s="105"/>
      <c r="W75" s="106"/>
    </row>
    <row r="76" spans="1:23">
      <c r="A76" s="18">
        <f ca="1">U74/C76</f>
        <v>11057.452123230642</v>
      </c>
      <c r="B76" s="4" t="s">
        <v>17</v>
      </c>
      <c r="C76" s="10">
        <f>SUM(C75, H75*1.5, K75*1.5)</f>
        <v>300.25</v>
      </c>
      <c r="D76" s="87">
        <f>(D75 * C75)  + F75</f>
        <v>2156880</v>
      </c>
      <c r="E76" s="97"/>
      <c r="F76" s="88"/>
      <c r="G76" s="87">
        <f>H75 * I75</f>
        <v>336321.42857142852</v>
      </c>
      <c r="H76" s="97"/>
      <c r="I76" s="88"/>
      <c r="J76" s="87">
        <f>K75 * L75</f>
        <v>605378.57142857136</v>
      </c>
      <c r="K76" s="97"/>
      <c r="L76" s="88"/>
      <c r="M76" s="98">
        <f>N75*O75</f>
        <v>67264.285714285725</v>
      </c>
      <c r="N76" s="99"/>
      <c r="O76" s="100"/>
      <c r="P76" s="87">
        <f ca="1">ROUND((P75 * Q75) / 12, -1)</f>
        <v>113520</v>
      </c>
      <c r="Q76" s="88"/>
      <c r="R76" s="15">
        <f>B73*0.5*R75</f>
        <v>0</v>
      </c>
      <c r="S76" s="82"/>
      <c r="T76" s="84"/>
      <c r="U76" s="10" t="s">
        <v>19</v>
      </c>
      <c r="V76" s="87">
        <f>D76+F75+G76+L76+M76</f>
        <v>2560465.7142857146</v>
      </c>
      <c r="W76" s="88"/>
    </row>
    <row r="80" spans="1:23">
      <c r="A80" s="2" t="s">
        <v>96</v>
      </c>
      <c r="B80" s="57">
        <f>(A83+F82)/C83</f>
        <v>10666.181975549063</v>
      </c>
      <c r="C80" s="93" t="s">
        <v>3</v>
      </c>
      <c r="D80" s="94"/>
      <c r="E80" s="94"/>
      <c r="F80" s="95"/>
      <c r="G80" s="96" t="s">
        <v>14</v>
      </c>
      <c r="H80" s="94"/>
      <c r="I80" s="94"/>
      <c r="J80" s="94"/>
      <c r="K80" s="94"/>
      <c r="L80" s="94"/>
      <c r="M80" s="94"/>
      <c r="N80" s="94"/>
      <c r="O80" s="94"/>
      <c r="P80" s="94"/>
      <c r="Q80" s="95"/>
      <c r="R80" s="96" t="s">
        <v>15</v>
      </c>
      <c r="S80" s="94"/>
      <c r="T80" s="95"/>
      <c r="U80" s="96" t="s">
        <v>18</v>
      </c>
      <c r="V80" s="94"/>
      <c r="W80" s="95"/>
    </row>
    <row r="81" spans="1:26">
      <c r="A81" s="61">
        <v>24</v>
      </c>
      <c r="B81" s="2" t="s">
        <v>97</v>
      </c>
      <c r="C81" s="93" t="s">
        <v>4</v>
      </c>
      <c r="D81" s="95"/>
      <c r="E81" s="10" t="s">
        <v>5</v>
      </c>
      <c r="F81" s="10" t="s">
        <v>6</v>
      </c>
      <c r="G81" s="96" t="s">
        <v>7</v>
      </c>
      <c r="H81" s="94"/>
      <c r="I81" s="95"/>
      <c r="J81" s="96" t="s">
        <v>8</v>
      </c>
      <c r="K81" s="94"/>
      <c r="L81" s="95"/>
      <c r="M81" s="96" t="s">
        <v>10</v>
      </c>
      <c r="N81" s="94"/>
      <c r="O81" s="95"/>
      <c r="P81" s="96" t="s">
        <v>11</v>
      </c>
      <c r="Q81" s="95"/>
      <c r="R81" s="10" t="s">
        <v>9</v>
      </c>
      <c r="S81" s="10" t="s">
        <v>12</v>
      </c>
      <c r="T81" s="10" t="s">
        <v>13</v>
      </c>
      <c r="U81" s="101">
        <f ca="1">ROUNDDOWN(SUM(D83, G83, J83, M83, R83, S82,P83, T82,), -1)</f>
        <v>3270400</v>
      </c>
      <c r="V81" s="102"/>
      <c r="W81" s="103"/>
      <c r="X81" s="63" t="s">
        <v>98</v>
      </c>
    </row>
    <row r="82" spans="1:26">
      <c r="A82" s="60">
        <v>3200000</v>
      </c>
      <c r="B82" s="19">
        <v>45659</v>
      </c>
      <c r="C82" s="10">
        <v>209</v>
      </c>
      <c r="D82" s="11">
        <v>10320</v>
      </c>
      <c r="E82" s="21">
        <v>200000</v>
      </c>
      <c r="F82" s="21">
        <v>100000</v>
      </c>
      <c r="G82" s="13">
        <v>7.5</v>
      </c>
      <c r="H82" s="13">
        <f>G82*365/84</f>
        <v>32.589285714285715</v>
      </c>
      <c r="I82" s="11">
        <f>B80 * 1.5</f>
        <v>15999.272963323594</v>
      </c>
      <c r="J82" s="58">
        <v>4.75</v>
      </c>
      <c r="K82" s="10">
        <f>J82*365/84</f>
        <v>20.639880952380953</v>
      </c>
      <c r="L82" s="11">
        <f>B80 * 1.5</f>
        <v>15999.272963323594</v>
      </c>
      <c r="M82" s="10"/>
      <c r="N82" s="10">
        <v>0</v>
      </c>
      <c r="O82" s="15">
        <f>B80*0.5</f>
        <v>5333.0909877745316</v>
      </c>
      <c r="P82" s="54">
        <f xml:space="preserve"> ROUND((D83 + G83 + J83 + M83) / 24, -1)</f>
        <v>129520</v>
      </c>
      <c r="Q82" s="10">
        <f ca="1">IF(DATEDIF(B82, EOMONTH(NOW(), 0), "Y") &lt; 1, 11, MIN(25, 15 + INT((DATEDIF(B82, EOMONTH(NOW(), 0), "Y") - 1) / 2)))</f>
        <v>15</v>
      </c>
      <c r="R82" s="22"/>
      <c r="S82" s="89"/>
      <c r="T82" s="91"/>
      <c r="U82" s="104"/>
      <c r="V82" s="105"/>
      <c r="W82" s="106"/>
      <c r="X82" t="s">
        <v>101</v>
      </c>
    </row>
    <row r="83" spans="1:26">
      <c r="A83" s="62">
        <v>2980860</v>
      </c>
      <c r="B83" s="2" t="s">
        <v>25</v>
      </c>
      <c r="C83" s="10">
        <f>SUM(C82, H82*1.5, K82*1.5)</f>
        <v>288.84375</v>
      </c>
      <c r="D83" s="87">
        <f>(D82 * C82)+F82</f>
        <v>2256880</v>
      </c>
      <c r="E83" s="97"/>
      <c r="F83" s="88"/>
      <c r="G83" s="87">
        <f>H82 * I82</f>
        <v>521404.87782259926</v>
      </c>
      <c r="H83" s="97"/>
      <c r="I83" s="88"/>
      <c r="J83" s="87">
        <f>K82 * L82</f>
        <v>330223.08928764623</v>
      </c>
      <c r="K83" s="97"/>
      <c r="L83" s="88"/>
      <c r="M83" s="98">
        <f>N82*O82</f>
        <v>0</v>
      </c>
      <c r="N83" s="99"/>
      <c r="O83" s="100"/>
      <c r="P83" s="87">
        <f ca="1">ROUND((P82 * Q82) / 12, -1)</f>
        <v>161900</v>
      </c>
      <c r="Q83" s="88"/>
      <c r="R83" s="15">
        <f>B80*0.5*R82</f>
        <v>0</v>
      </c>
      <c r="S83" s="90"/>
      <c r="T83" s="92"/>
      <c r="U83" s="10" t="s">
        <v>19</v>
      </c>
      <c r="V83" s="87">
        <f>D83-F82+G83+J83+M83</f>
        <v>3008507.9671102455</v>
      </c>
      <c r="W83" s="88"/>
    </row>
    <row r="86" spans="1:26">
      <c r="A86" s="2" t="s">
        <v>96</v>
      </c>
      <c r="B86" s="3">
        <f>( (D88 * 209) + F88 ) / 209</f>
        <v>10798.468899521531</v>
      </c>
      <c r="C86" s="93" t="s">
        <v>3</v>
      </c>
      <c r="D86" s="94"/>
      <c r="E86" s="94"/>
      <c r="F86" s="95"/>
      <c r="G86" s="96" t="s">
        <v>14</v>
      </c>
      <c r="H86" s="94"/>
      <c r="I86" s="94"/>
      <c r="J86" s="94"/>
      <c r="K86" s="94"/>
      <c r="L86" s="94"/>
      <c r="M86" s="94"/>
      <c r="N86" s="94"/>
      <c r="O86" s="94"/>
      <c r="P86" s="94"/>
      <c r="Q86" s="95"/>
      <c r="R86" s="96" t="s">
        <v>15</v>
      </c>
      <c r="S86" s="94"/>
      <c r="T86" s="95"/>
      <c r="U86" s="96" t="s">
        <v>18</v>
      </c>
      <c r="V86" s="94"/>
      <c r="W86" s="95"/>
    </row>
    <row r="87" spans="1:26">
      <c r="A87" s="8" t="s">
        <v>0</v>
      </c>
      <c r="B87" s="4" t="s">
        <v>97</v>
      </c>
      <c r="C87" s="93" t="s">
        <v>4</v>
      </c>
      <c r="D87" s="95"/>
      <c r="E87" s="10" t="s">
        <v>5</v>
      </c>
      <c r="F87" s="10" t="s">
        <v>6</v>
      </c>
      <c r="G87" s="96" t="s">
        <v>7</v>
      </c>
      <c r="H87" s="94"/>
      <c r="I87" s="95"/>
      <c r="J87" s="96" t="s">
        <v>8</v>
      </c>
      <c r="K87" s="94"/>
      <c r="L87" s="95"/>
      <c r="M87" s="96" t="s">
        <v>10</v>
      </c>
      <c r="N87" s="94"/>
      <c r="O87" s="95"/>
      <c r="P87" s="96" t="s">
        <v>11</v>
      </c>
      <c r="Q87" s="95"/>
      <c r="R87" s="10" t="s">
        <v>9</v>
      </c>
      <c r="S87" s="10" t="s">
        <v>12</v>
      </c>
      <c r="T87" s="10" t="s">
        <v>13</v>
      </c>
      <c r="U87" s="101">
        <f ca="1">ROUNDDOWN(SUM(D89, G89, J89, M89, P89, R89, S88, T88), -1)</f>
        <v>3619410</v>
      </c>
      <c r="V87" s="102"/>
      <c r="W87" s="103"/>
    </row>
    <row r="88" spans="1:26">
      <c r="A88" s="8" t="s">
        <v>1</v>
      </c>
      <c r="B88" s="17">
        <v>45659</v>
      </c>
      <c r="C88" s="10">
        <v>209</v>
      </c>
      <c r="D88" s="11">
        <v>10320</v>
      </c>
      <c r="E88" s="12">
        <v>200000</v>
      </c>
      <c r="F88" s="12">
        <v>100000</v>
      </c>
      <c r="G88" s="13">
        <v>7.5</v>
      </c>
      <c r="H88" s="13">
        <f>G88*365/84</f>
        <v>32.589285714285715</v>
      </c>
      <c r="I88" s="11">
        <f>B86 * 1.5</f>
        <v>16197.703349282296</v>
      </c>
      <c r="J88" s="58">
        <v>9.5</v>
      </c>
      <c r="K88" s="10">
        <f>J88*365/84</f>
        <v>41.279761904761905</v>
      </c>
      <c r="L88" s="11">
        <f>B86 * 1.5</f>
        <v>16197.703349282296</v>
      </c>
      <c r="M88" s="10"/>
      <c r="N88" s="10">
        <v>0</v>
      </c>
      <c r="O88" s="15">
        <f>B86*0.5</f>
        <v>5399.2344497607655</v>
      </c>
      <c r="P88" s="54">
        <f xml:space="preserve"> ROUND((D89 + G89 + J89 + M89) / 26, -1)</f>
        <v>132820</v>
      </c>
      <c r="Q88" s="10">
        <f ca="1">IF(DATEDIF(B88, EOMONTH(NOW(), 0), "Y") &lt; 1, 11, MIN(25, 15 + INT((DATEDIF(B88, EOMONTH(NOW(), 0), "Y") - 1) / 2)))</f>
        <v>15</v>
      </c>
      <c r="R88" s="16"/>
      <c r="S88" s="83"/>
      <c r="T88" s="83"/>
      <c r="U88" s="104"/>
      <c r="V88" s="105"/>
      <c r="W88" s="106"/>
    </row>
    <row r="89" spans="1:26">
      <c r="A89" s="18">
        <f ca="1">U87/C89</f>
        <v>11317.603439611368</v>
      </c>
      <c r="B89" s="4" t="s">
        <v>17</v>
      </c>
      <c r="C89" s="10">
        <f>SUM(C88, H88*1.5, K88*1.5)</f>
        <v>319.80357142857144</v>
      </c>
      <c r="D89" s="87">
        <f>(D88 * 209)  + F88</f>
        <v>2256880</v>
      </c>
      <c r="E89" s="97"/>
      <c r="F89" s="88"/>
      <c r="G89" s="87">
        <f>H88 * I88</f>
        <v>527871.58236500341</v>
      </c>
      <c r="H89" s="97"/>
      <c r="I89" s="88"/>
      <c r="J89" s="87">
        <f>K88 * L88</f>
        <v>668637.33766233758</v>
      </c>
      <c r="K89" s="97"/>
      <c r="L89" s="88"/>
      <c r="M89" s="98">
        <f>N88*O88</f>
        <v>0</v>
      </c>
      <c r="N89" s="99"/>
      <c r="O89" s="100"/>
      <c r="P89" s="87">
        <f ca="1">ROUND((P88 * Q88) / 12, -1)</f>
        <v>166030</v>
      </c>
      <c r="Q89" s="88"/>
      <c r="R89" s="15">
        <f>B86*0.5*R88</f>
        <v>0</v>
      </c>
      <c r="S89" s="84"/>
      <c r="T89" s="84"/>
      <c r="U89" s="10" t="s">
        <v>19</v>
      </c>
      <c r="V89" s="87">
        <f>D89+F88+G89+L89+M89</f>
        <v>2884751.5823650034</v>
      </c>
      <c r="W89" s="88"/>
    </row>
    <row r="92" spans="1:26">
      <c r="A92" s="2" t="s">
        <v>96</v>
      </c>
      <c r="B92" s="20">
        <f>( (D94 * 209) + F94 ) / 209</f>
        <v>10798.468899521531</v>
      </c>
      <c r="C92" s="93" t="s">
        <v>3</v>
      </c>
      <c r="D92" s="94"/>
      <c r="E92" s="94"/>
      <c r="F92" s="95"/>
      <c r="G92" s="96" t="s">
        <v>14</v>
      </c>
      <c r="H92" s="94"/>
      <c r="I92" s="94"/>
      <c r="J92" s="94"/>
      <c r="K92" s="94"/>
      <c r="L92" s="94"/>
      <c r="M92" s="94"/>
      <c r="N92" s="94"/>
      <c r="O92" s="94"/>
      <c r="P92" s="94"/>
      <c r="Q92" s="95"/>
      <c r="R92" s="96" t="s">
        <v>15</v>
      </c>
      <c r="S92" s="94"/>
      <c r="T92" s="95"/>
      <c r="U92" s="96" t="s">
        <v>18</v>
      </c>
      <c r="V92" s="94"/>
      <c r="W92" s="95"/>
    </row>
    <row r="93" spans="1:26">
      <c r="A93" s="9" t="s">
        <v>20</v>
      </c>
      <c r="B93" s="2" t="s">
        <v>97</v>
      </c>
      <c r="C93" s="93" t="s">
        <v>4</v>
      </c>
      <c r="D93" s="95"/>
      <c r="E93" s="10" t="s">
        <v>5</v>
      </c>
      <c r="F93" s="10" t="s">
        <v>6</v>
      </c>
      <c r="G93" s="96" t="s">
        <v>7</v>
      </c>
      <c r="H93" s="94"/>
      <c r="I93" s="95"/>
      <c r="J93" s="96" t="s">
        <v>8</v>
      </c>
      <c r="K93" s="94"/>
      <c r="L93" s="95"/>
      <c r="M93" s="96" t="s">
        <v>10</v>
      </c>
      <c r="N93" s="94"/>
      <c r="O93" s="95"/>
      <c r="P93" s="96" t="s">
        <v>11</v>
      </c>
      <c r="Q93" s="95"/>
      <c r="R93" s="10" t="s">
        <v>9</v>
      </c>
      <c r="S93" s="10" t="s">
        <v>12</v>
      </c>
      <c r="T93" s="10" t="s">
        <v>13</v>
      </c>
      <c r="U93" s="101">
        <f ca="1">ROUNDDOWN(SUM(D95, G95, J95, M95, P95, R95, S94, T94), -1)</f>
        <v>3281520</v>
      </c>
      <c r="V93" s="102"/>
      <c r="W93" s="103"/>
      <c r="X93" s="63" t="s">
        <v>104</v>
      </c>
      <c r="Y93" s="64"/>
      <c r="Z93" s="66" t="s">
        <v>107</v>
      </c>
    </row>
    <row r="94" spans="1:26">
      <c r="A94" s="9" t="s">
        <v>21</v>
      </c>
      <c r="B94" s="19">
        <v>45659</v>
      </c>
      <c r="C94" s="10">
        <v>209</v>
      </c>
      <c r="D94" s="11">
        <v>10320</v>
      </c>
      <c r="E94" s="21">
        <v>200000</v>
      </c>
      <c r="F94" s="21">
        <v>100000</v>
      </c>
      <c r="G94" s="13">
        <v>7.5</v>
      </c>
      <c r="H94" s="13">
        <f>G94*365/84</f>
        <v>32.589285714285715</v>
      </c>
      <c r="I94" s="11">
        <f>B92 * 1.5</f>
        <v>16197.703349282296</v>
      </c>
      <c r="J94" s="58">
        <v>4.75</v>
      </c>
      <c r="K94" s="10">
        <f>J94*365/84</f>
        <v>20.639880952380953</v>
      </c>
      <c r="L94" s="11">
        <f>B92 * 1.5</f>
        <v>16197.703349282296</v>
      </c>
      <c r="M94" s="10"/>
      <c r="N94" s="10">
        <v>0</v>
      </c>
      <c r="O94" s="15">
        <f>B92*0.5</f>
        <v>5399.2344497607655</v>
      </c>
      <c r="P94" s="54">
        <f xml:space="preserve"> ROUND((D95 + G95 + J95 + M95) / 24, -1)</f>
        <v>129960</v>
      </c>
      <c r="Q94" s="10">
        <f ca="1">IF(DATEDIF(B94, EOMONTH(NOW(), 0), "Y") &lt; 1, 11, MIN(25, 15 + INT((DATEDIF(B94, EOMONTH(NOW(), 0), "Y") - 1) / 2)))</f>
        <v>15</v>
      </c>
      <c r="R94" s="22"/>
      <c r="S94" s="89"/>
      <c r="T94" s="91"/>
      <c r="U94" s="104"/>
      <c r="V94" s="105"/>
      <c r="W94" s="106"/>
      <c r="Y94" s="65"/>
    </row>
    <row r="95" spans="1:26">
      <c r="A95" s="18">
        <f ca="1">U93/C95</f>
        <v>11360.882830249919</v>
      </c>
      <c r="B95" s="2" t="s">
        <v>25</v>
      </c>
      <c r="C95" s="10">
        <f>SUM(C94, H94*1.5, K94*1.5)</f>
        <v>288.84375</v>
      </c>
      <c r="D95" s="87">
        <f>(D94 * 209) +  F94</f>
        <v>2256880</v>
      </c>
      <c r="E95" s="97"/>
      <c r="F95" s="88"/>
      <c r="G95" s="87">
        <f>H94 * I94</f>
        <v>527871.58236500341</v>
      </c>
      <c r="H95" s="97"/>
      <c r="I95" s="88"/>
      <c r="J95" s="87">
        <f>K94 * L94</f>
        <v>334318.66883116879</v>
      </c>
      <c r="K95" s="97"/>
      <c r="L95" s="88"/>
      <c r="M95" s="98">
        <f>N94*O94</f>
        <v>0</v>
      </c>
      <c r="N95" s="99"/>
      <c r="O95" s="100"/>
      <c r="P95" s="87">
        <f ca="1">ROUND((P94 * Q94) / 12, -1)</f>
        <v>162450</v>
      </c>
      <c r="Q95" s="88"/>
      <c r="R95" s="15">
        <f>B92*0.5*R94</f>
        <v>0</v>
      </c>
      <c r="S95" s="90"/>
      <c r="T95" s="92"/>
      <c r="U95" s="10" t="s">
        <v>19</v>
      </c>
      <c r="V95" s="87">
        <f>D95+G95+J95+M95</f>
        <v>3119070.2511961721</v>
      </c>
      <c r="W95" s="88"/>
    </row>
    <row r="98" spans="1:24">
      <c r="A98" s="2" t="s">
        <v>96</v>
      </c>
      <c r="B98" s="20">
        <f>( (D100 * 209) + F100 ) / 209</f>
        <v>11276.937799043062</v>
      </c>
      <c r="C98" s="93" t="s">
        <v>3</v>
      </c>
      <c r="D98" s="94"/>
      <c r="E98" s="94"/>
      <c r="F98" s="95"/>
      <c r="G98" s="96" t="s">
        <v>14</v>
      </c>
      <c r="H98" s="94"/>
      <c r="I98" s="94"/>
      <c r="J98" s="94"/>
      <c r="K98" s="94"/>
      <c r="L98" s="94"/>
      <c r="M98" s="94"/>
      <c r="N98" s="94"/>
      <c r="O98" s="94"/>
      <c r="P98" s="94"/>
      <c r="Q98" s="95"/>
      <c r="R98" s="96" t="s">
        <v>15</v>
      </c>
      <c r="S98" s="94"/>
      <c r="T98" s="95"/>
      <c r="U98" s="96" t="s">
        <v>18</v>
      </c>
      <c r="V98" s="94"/>
      <c r="W98" s="95"/>
    </row>
    <row r="99" spans="1:24">
      <c r="A99" s="9" t="s">
        <v>20</v>
      </c>
      <c r="B99" s="2" t="s">
        <v>99</v>
      </c>
      <c r="C99" s="93" t="s">
        <v>4</v>
      </c>
      <c r="D99" s="95"/>
      <c r="E99" s="10" t="s">
        <v>5</v>
      </c>
      <c r="F99" s="10" t="s">
        <v>6</v>
      </c>
      <c r="G99" s="96" t="s">
        <v>7</v>
      </c>
      <c r="H99" s="94"/>
      <c r="I99" s="95"/>
      <c r="J99" s="96" t="s">
        <v>8</v>
      </c>
      <c r="K99" s="94"/>
      <c r="L99" s="95"/>
      <c r="M99" s="96" t="s">
        <v>10</v>
      </c>
      <c r="N99" s="94"/>
      <c r="O99" s="95"/>
      <c r="P99" s="96" t="s">
        <v>11</v>
      </c>
      <c r="Q99" s="95"/>
      <c r="R99" s="10" t="s">
        <v>9</v>
      </c>
      <c r="S99" s="10" t="s">
        <v>12</v>
      </c>
      <c r="T99" s="10" t="s">
        <v>13</v>
      </c>
      <c r="U99" s="101">
        <f ca="1">ROUNDDOWN(SUM(D101, G101, J101, M101, P101, R101, S100, T100), -1)</f>
        <v>3626920</v>
      </c>
      <c r="V99" s="102"/>
      <c r="W99" s="103"/>
      <c r="X99" s="63" t="s">
        <v>102</v>
      </c>
    </row>
    <row r="100" spans="1:24">
      <c r="A100" s="9" t="s">
        <v>21</v>
      </c>
      <c r="B100" s="19">
        <v>45700</v>
      </c>
      <c r="C100" s="10">
        <v>209</v>
      </c>
      <c r="D100" s="11">
        <v>10320</v>
      </c>
      <c r="E100" s="21">
        <v>200000</v>
      </c>
      <c r="F100" s="21">
        <v>200000</v>
      </c>
      <c r="G100" s="13">
        <v>7.5</v>
      </c>
      <c r="H100" s="13">
        <f>G100*365/84</f>
        <v>32.589285714285715</v>
      </c>
      <c r="I100" s="11">
        <f>B98 * 1.5</f>
        <v>16915.406698564591</v>
      </c>
      <c r="J100" s="58">
        <v>4.75</v>
      </c>
      <c r="K100" s="10">
        <f>J100*365/84</f>
        <v>20.639880952380953</v>
      </c>
      <c r="L100" s="11">
        <f>B98 * 1.5</f>
        <v>16915.406698564591</v>
      </c>
      <c r="M100" s="10"/>
      <c r="N100" s="10">
        <v>0</v>
      </c>
      <c r="O100" s="15">
        <f>B98*0.5</f>
        <v>5638.4688995215311</v>
      </c>
      <c r="P100" s="54">
        <f xml:space="preserve"> ROUND((D101 + G101 + J101 + M101) / 24, -1)</f>
        <v>135720</v>
      </c>
      <c r="Q100" s="10">
        <f ca="1">IF(DATEDIF(B100, EOMONTH(NOW(), 0), "Y") &lt; 1, 11, MIN(25, 15 + INT((DATEDIF(B100, EOMONTH(NOW(), 0), "Y") - 1) / 2)))</f>
        <v>15</v>
      </c>
      <c r="R100" s="22"/>
      <c r="S100" s="89">
        <v>200000</v>
      </c>
      <c r="T100" s="91"/>
      <c r="U100" s="104"/>
      <c r="V100" s="105"/>
      <c r="W100" s="106"/>
    </row>
    <row r="101" spans="1:24">
      <c r="A101" s="18">
        <f ca="1">U99/C101</f>
        <v>12556.68505896354</v>
      </c>
      <c r="B101" s="2" t="s">
        <v>100</v>
      </c>
      <c r="C101" s="10">
        <f>SUM(C100, H100*1.5, K100*1.5)</f>
        <v>288.84375</v>
      </c>
      <c r="D101" s="87">
        <f>(D100 * 209) +  F100</f>
        <v>2356880</v>
      </c>
      <c r="E101" s="97"/>
      <c r="F101" s="88"/>
      <c r="G101" s="87">
        <f>H100 * I100</f>
        <v>551261.02187286399</v>
      </c>
      <c r="H101" s="97"/>
      <c r="I101" s="88"/>
      <c r="J101" s="87">
        <f>K100 * L100</f>
        <v>349131.98051948048</v>
      </c>
      <c r="K101" s="97"/>
      <c r="L101" s="88"/>
      <c r="M101" s="98">
        <f>N100*O100</f>
        <v>0</v>
      </c>
      <c r="N101" s="99"/>
      <c r="O101" s="100"/>
      <c r="P101" s="87">
        <f ca="1">ROUND((P100 * Q100) / 12, -1)</f>
        <v>169650</v>
      </c>
      <c r="Q101" s="88"/>
      <c r="R101" s="15">
        <f>B98*0.5*R100</f>
        <v>0</v>
      </c>
      <c r="S101" s="90"/>
      <c r="T101" s="92"/>
      <c r="U101" s="10" t="s">
        <v>19</v>
      </c>
      <c r="V101" s="87">
        <f>D101+G101+J101+M101</f>
        <v>3257273.0023923446</v>
      </c>
      <c r="W101" s="88"/>
    </row>
    <row r="104" spans="1:24">
      <c r="A104" s="2" t="s">
        <v>96</v>
      </c>
      <c r="B104" s="57">
        <f>(A107+F106)/C107</f>
        <v>11012.389916693714</v>
      </c>
      <c r="C104" s="93" t="s">
        <v>3</v>
      </c>
      <c r="D104" s="94"/>
      <c r="E104" s="94"/>
      <c r="F104" s="95"/>
      <c r="G104" s="96" t="s">
        <v>14</v>
      </c>
      <c r="H104" s="94"/>
      <c r="I104" s="94"/>
      <c r="J104" s="94"/>
      <c r="K104" s="94"/>
      <c r="L104" s="94"/>
      <c r="M104" s="94"/>
      <c r="N104" s="94"/>
      <c r="O104" s="94"/>
      <c r="P104" s="94"/>
      <c r="Q104" s="95"/>
      <c r="R104" s="96" t="s">
        <v>15</v>
      </c>
      <c r="S104" s="94"/>
      <c r="T104" s="95"/>
      <c r="U104" s="96" t="s">
        <v>18</v>
      </c>
      <c r="V104" s="94"/>
      <c r="W104" s="95"/>
    </row>
    <row r="105" spans="1:24">
      <c r="A105" s="61">
        <v>24</v>
      </c>
      <c r="B105" s="2" t="s">
        <v>99</v>
      </c>
      <c r="C105" s="93" t="s">
        <v>4</v>
      </c>
      <c r="D105" s="95"/>
      <c r="E105" s="10" t="s">
        <v>5</v>
      </c>
      <c r="F105" s="10" t="s">
        <v>6</v>
      </c>
      <c r="G105" s="96" t="s">
        <v>7</v>
      </c>
      <c r="H105" s="94"/>
      <c r="I105" s="95"/>
      <c r="J105" s="96" t="s">
        <v>8</v>
      </c>
      <c r="K105" s="94"/>
      <c r="L105" s="95"/>
      <c r="M105" s="96" t="s">
        <v>10</v>
      </c>
      <c r="N105" s="94"/>
      <c r="O105" s="95"/>
      <c r="P105" s="96" t="s">
        <v>11</v>
      </c>
      <c r="Q105" s="95"/>
      <c r="R105" s="10" t="s">
        <v>9</v>
      </c>
      <c r="S105" s="10" t="s">
        <v>12</v>
      </c>
      <c r="T105" s="10" t="s">
        <v>13</v>
      </c>
      <c r="U105" s="101">
        <f ca="1">ROUNDDOWN(SUM(D107, G107, J107, M107, R107, S106,P107, T106,), -1)</f>
        <v>3604700</v>
      </c>
      <c r="V105" s="102"/>
      <c r="W105" s="103"/>
      <c r="X105" s="63" t="s">
        <v>103</v>
      </c>
    </row>
    <row r="106" spans="1:24">
      <c r="A106" s="60">
        <v>3200000</v>
      </c>
      <c r="B106" s="19">
        <v>45659</v>
      </c>
      <c r="C106" s="10">
        <v>209</v>
      </c>
      <c r="D106" s="11">
        <v>10320</v>
      </c>
      <c r="E106" s="21">
        <v>200000</v>
      </c>
      <c r="F106" s="21">
        <v>200000</v>
      </c>
      <c r="G106" s="13">
        <v>7.5</v>
      </c>
      <c r="H106" s="13">
        <f>G106*365/84</f>
        <v>32.589285714285715</v>
      </c>
      <c r="I106" s="11">
        <f>B104 * 1.5</f>
        <v>16518.584875040571</v>
      </c>
      <c r="J106" s="58">
        <v>4.75</v>
      </c>
      <c r="K106" s="10">
        <f>J106*365/84</f>
        <v>20.639880952380953</v>
      </c>
      <c r="L106" s="11">
        <f>B104 * 1.5</f>
        <v>16518.584875040571</v>
      </c>
      <c r="M106" s="10"/>
      <c r="N106" s="10">
        <v>0</v>
      </c>
      <c r="O106" s="15">
        <f>B104*0.5</f>
        <v>5506.1949583468568</v>
      </c>
      <c r="P106" s="54">
        <f xml:space="preserve"> ROUND((D107 + G107 + J107 + M107) / 24, -1)</f>
        <v>134840</v>
      </c>
      <c r="Q106" s="10">
        <f ca="1">IF(DATEDIF(B106, EOMONTH(NOW(), 0), "Y") &lt; 1, 11, MIN(25, 15 + INT((DATEDIF(B106, EOMONTH(NOW(), 0), "Y") - 1) / 2)))</f>
        <v>15</v>
      </c>
      <c r="R106" s="22"/>
      <c r="S106" s="89">
        <v>200000</v>
      </c>
      <c r="T106" s="91"/>
      <c r="U106" s="104"/>
      <c r="V106" s="105"/>
      <c r="W106" s="106"/>
      <c r="X106" t="s">
        <v>101</v>
      </c>
    </row>
    <row r="107" spans="1:24">
      <c r="A107" s="62">
        <v>2980860</v>
      </c>
      <c r="B107" s="2" t="s">
        <v>25</v>
      </c>
      <c r="C107" s="10">
        <f>SUM(C106, H106*1.5, K106*1.5)</f>
        <v>288.84375</v>
      </c>
      <c r="D107" s="87">
        <f>(D106 * C106)+F106</f>
        <v>2356880</v>
      </c>
      <c r="E107" s="97"/>
      <c r="F107" s="88"/>
      <c r="G107" s="87">
        <f>H106 * I106</f>
        <v>538328.88208837574</v>
      </c>
      <c r="H107" s="97"/>
      <c r="I107" s="88"/>
      <c r="J107" s="87">
        <f>K106 * L106</f>
        <v>340941.62532263796</v>
      </c>
      <c r="K107" s="97"/>
      <c r="L107" s="88"/>
      <c r="M107" s="98">
        <f>N106*O106</f>
        <v>0</v>
      </c>
      <c r="N107" s="99"/>
      <c r="O107" s="100"/>
      <c r="P107" s="87">
        <f ca="1">ROUND((P106 * Q106) / 12, -1)</f>
        <v>168550</v>
      </c>
      <c r="Q107" s="88"/>
      <c r="R107" s="15">
        <f>B104*0.5*R106</f>
        <v>0</v>
      </c>
      <c r="S107" s="90"/>
      <c r="T107" s="92"/>
      <c r="U107" s="10" t="s">
        <v>19</v>
      </c>
      <c r="V107" s="87">
        <f>D107-F106+G107+J107+M107</f>
        <v>3036150.5074110138</v>
      </c>
      <c r="W107" s="88"/>
    </row>
    <row r="110" spans="1:24">
      <c r="A110" s="2" t="s">
        <v>96</v>
      </c>
      <c r="B110" s="3">
        <f>( (D112 * 209) + F112 ) / 209</f>
        <v>10320</v>
      </c>
      <c r="C110" s="93" t="s">
        <v>3</v>
      </c>
      <c r="D110" s="94"/>
      <c r="E110" s="94"/>
      <c r="F110" s="95"/>
      <c r="G110" s="96" t="s">
        <v>14</v>
      </c>
      <c r="H110" s="94"/>
      <c r="I110" s="94"/>
      <c r="J110" s="94"/>
      <c r="K110" s="94"/>
      <c r="L110" s="94"/>
      <c r="M110" s="94"/>
      <c r="N110" s="94"/>
      <c r="O110" s="94"/>
      <c r="P110" s="94"/>
      <c r="Q110" s="95"/>
      <c r="R110" s="96" t="s">
        <v>15</v>
      </c>
      <c r="S110" s="94"/>
      <c r="T110" s="95"/>
      <c r="U110" s="96" t="s">
        <v>18</v>
      </c>
      <c r="V110" s="94"/>
      <c r="W110" s="95"/>
    </row>
    <row r="111" spans="1:24">
      <c r="A111" s="8" t="s">
        <v>0</v>
      </c>
      <c r="B111" s="4" t="s">
        <v>105</v>
      </c>
      <c r="C111" s="93" t="s">
        <v>4</v>
      </c>
      <c r="D111" s="95"/>
      <c r="E111" s="10" t="s">
        <v>5</v>
      </c>
      <c r="F111" s="10" t="s">
        <v>6</v>
      </c>
      <c r="G111" s="96" t="s">
        <v>7</v>
      </c>
      <c r="H111" s="94"/>
      <c r="I111" s="95"/>
      <c r="J111" s="96" t="s">
        <v>8</v>
      </c>
      <c r="K111" s="94"/>
      <c r="L111" s="95"/>
      <c r="M111" s="96" t="s">
        <v>10</v>
      </c>
      <c r="N111" s="94"/>
      <c r="O111" s="95"/>
      <c r="P111" s="96" t="s">
        <v>11</v>
      </c>
      <c r="Q111" s="95"/>
      <c r="R111" s="10" t="s">
        <v>9</v>
      </c>
      <c r="S111" s="10" t="s">
        <v>12</v>
      </c>
      <c r="T111" s="10" t="s">
        <v>13</v>
      </c>
      <c r="U111" s="101">
        <f ca="1">ROUNDDOWN(SUM(D113, G113, J113, M113, P113, R113, S112, T112), -1)</f>
        <v>3459050</v>
      </c>
      <c r="V111" s="102"/>
      <c r="W111" s="103"/>
      <c r="X111" s="63" t="s">
        <v>106</v>
      </c>
    </row>
    <row r="112" spans="1:24">
      <c r="A112" s="8" t="s">
        <v>1</v>
      </c>
      <c r="B112" s="17">
        <v>45720</v>
      </c>
      <c r="C112" s="10">
        <v>209</v>
      </c>
      <c r="D112" s="11">
        <v>10320</v>
      </c>
      <c r="E112" s="12">
        <v>0</v>
      </c>
      <c r="F112" s="12">
        <v>0</v>
      </c>
      <c r="G112" s="13">
        <v>7.5</v>
      </c>
      <c r="H112" s="13">
        <f>G112*365/84</f>
        <v>32.589285714285715</v>
      </c>
      <c r="I112" s="11">
        <f>B110 * 1.5</f>
        <v>15480</v>
      </c>
      <c r="J112" s="58">
        <v>9.5</v>
      </c>
      <c r="K112" s="10">
        <f>J112*365/84</f>
        <v>41.279761904761905</v>
      </c>
      <c r="L112" s="11">
        <f>B110 * 1.5</f>
        <v>15480</v>
      </c>
      <c r="M112" s="10"/>
      <c r="N112" s="10">
        <v>0</v>
      </c>
      <c r="O112" s="15">
        <f>B110*0.5</f>
        <v>5160</v>
      </c>
      <c r="P112" s="54">
        <f xml:space="preserve"> ROUND((D113 + G113 + J113 + M113) / 26, -1)</f>
        <v>126940</v>
      </c>
      <c r="Q112" s="10">
        <f ca="1">IF(DATEDIF(B112, EOMONTH(NOW(), 0), "Y") &lt; 1, 11, MIN(25, 15 + INT((DATEDIF(B112, EOMONTH(NOW(), 0), "Y") - 1) / 2)))</f>
        <v>15</v>
      </c>
      <c r="R112" s="16"/>
      <c r="S112" s="83"/>
      <c r="T112" s="83"/>
      <c r="U112" s="104"/>
      <c r="V112" s="105"/>
      <c r="W112" s="106"/>
    </row>
    <row r="113" spans="1:28">
      <c r="A113" s="18"/>
      <c r="B113" s="4" t="s">
        <v>17</v>
      </c>
      <c r="C113" s="10">
        <f>SUM(C112, H112*1.5, K112*1.5)</f>
        <v>319.80357142857144</v>
      </c>
      <c r="D113" s="87">
        <f>(D112 * 209)  + F112</f>
        <v>2156880</v>
      </c>
      <c r="E113" s="97"/>
      <c r="F113" s="88"/>
      <c r="G113" s="87">
        <f>H112 * I112</f>
        <v>504482.1428571429</v>
      </c>
      <c r="H113" s="97"/>
      <c r="I113" s="88"/>
      <c r="J113" s="87">
        <f>K112 * L112</f>
        <v>639010.71428571432</v>
      </c>
      <c r="K113" s="97"/>
      <c r="L113" s="88"/>
      <c r="M113" s="98">
        <f>N112*O112</f>
        <v>0</v>
      </c>
      <c r="N113" s="99"/>
      <c r="O113" s="100"/>
      <c r="P113" s="87">
        <f ca="1">ROUND((P112 * Q112) / 12, -1)</f>
        <v>158680</v>
      </c>
      <c r="Q113" s="88"/>
      <c r="R113" s="15">
        <f>B110*0.5*R112</f>
        <v>0</v>
      </c>
      <c r="S113" s="84"/>
      <c r="T113" s="84"/>
      <c r="U113" s="10" t="s">
        <v>19</v>
      </c>
      <c r="V113" s="87">
        <f>D113+F112+G113+L113+M113</f>
        <v>2661362.1428571427</v>
      </c>
      <c r="W113" s="88"/>
    </row>
    <row r="116" spans="1:28">
      <c r="A116" s="2" t="s">
        <v>96</v>
      </c>
      <c r="B116" s="20">
        <f>( (D118 * 209) + F118 ) / 209</f>
        <v>10559.234449760766</v>
      </c>
      <c r="C116" s="93" t="s">
        <v>3</v>
      </c>
      <c r="D116" s="94"/>
      <c r="E116" s="94"/>
      <c r="F116" s="95"/>
      <c r="G116" s="96" t="s">
        <v>14</v>
      </c>
      <c r="H116" s="94"/>
      <c r="I116" s="94"/>
      <c r="J116" s="94"/>
      <c r="K116" s="94"/>
      <c r="L116" s="94"/>
      <c r="M116" s="94"/>
      <c r="N116" s="94"/>
      <c r="O116" s="94"/>
      <c r="P116" s="94"/>
      <c r="Q116" s="95"/>
      <c r="R116" s="96" t="s">
        <v>15</v>
      </c>
      <c r="S116" s="94"/>
      <c r="T116" s="95"/>
      <c r="U116" s="96" t="s">
        <v>18</v>
      </c>
      <c r="V116" s="94"/>
      <c r="W116" s="95"/>
    </row>
    <row r="117" spans="1:28">
      <c r="A117" s="9" t="s">
        <v>20</v>
      </c>
      <c r="B117" s="2" t="s">
        <v>108</v>
      </c>
      <c r="C117" s="93" t="s">
        <v>4</v>
      </c>
      <c r="D117" s="95"/>
      <c r="E117" s="10" t="s">
        <v>5</v>
      </c>
      <c r="F117" s="10" t="s">
        <v>6</v>
      </c>
      <c r="G117" s="96" t="s">
        <v>7</v>
      </c>
      <c r="H117" s="94"/>
      <c r="I117" s="95"/>
      <c r="J117" s="96" t="s">
        <v>8</v>
      </c>
      <c r="K117" s="94"/>
      <c r="L117" s="95"/>
      <c r="M117" s="96" t="s">
        <v>10</v>
      </c>
      <c r="N117" s="94"/>
      <c r="O117" s="95"/>
      <c r="P117" s="96" t="s">
        <v>11</v>
      </c>
      <c r="Q117" s="95"/>
      <c r="R117" s="10" t="s">
        <v>9</v>
      </c>
      <c r="S117" s="10" t="s">
        <v>12</v>
      </c>
      <c r="T117" s="10" t="s">
        <v>13</v>
      </c>
      <c r="U117" s="101">
        <f ca="1">ROUNDDOWN(SUM(D119, G119, J119, M119, P119, R119, S118, T118), -1)</f>
        <v>3208810</v>
      </c>
      <c r="V117" s="102"/>
      <c r="W117" s="103"/>
      <c r="X117" s="63" t="s">
        <v>109</v>
      </c>
    </row>
    <row r="118" spans="1:28">
      <c r="A118" s="9" t="s">
        <v>21</v>
      </c>
      <c r="B118" s="19">
        <v>45792</v>
      </c>
      <c r="C118" s="10">
        <v>209</v>
      </c>
      <c r="D118" s="11">
        <v>10320</v>
      </c>
      <c r="E118" s="21">
        <v>200000</v>
      </c>
      <c r="F118" s="21">
        <v>50000</v>
      </c>
      <c r="G118" s="13">
        <v>7.5</v>
      </c>
      <c r="H118" s="13">
        <f>G118*365/84</f>
        <v>32.589285714285715</v>
      </c>
      <c r="I118" s="11">
        <f>B116 * 1.5</f>
        <v>15838.85167464115</v>
      </c>
      <c r="J118" s="58">
        <v>4.75</v>
      </c>
      <c r="K118" s="10">
        <f>J118*365/84</f>
        <v>20.639880952380953</v>
      </c>
      <c r="L118" s="11">
        <f>B116 * 1.5</f>
        <v>15838.85167464115</v>
      </c>
      <c r="M118" s="10"/>
      <c r="N118" s="10">
        <v>0</v>
      </c>
      <c r="O118" s="15">
        <f>B116*0.5</f>
        <v>5279.6172248803832</v>
      </c>
      <c r="P118" s="54">
        <f xml:space="preserve"> ROUND((D119 + G119 + J119 + M119) / 24, -1)</f>
        <v>127080</v>
      </c>
      <c r="Q118" s="10">
        <f ca="1">IF(DATEDIF(B118, EOMONTH(NOW(), 0), "Y") &lt; 1, 11, MIN(25, 15 + INT((DATEDIF(B118, EOMONTH(NOW(), 0), "Y") - 1) / 2)))</f>
        <v>15</v>
      </c>
      <c r="R118" s="22"/>
      <c r="S118" s="89"/>
      <c r="T118" s="91"/>
      <c r="U118" s="104"/>
      <c r="V118" s="105"/>
      <c r="W118" s="106"/>
    </row>
    <row r="119" spans="1:28">
      <c r="A119" s="18">
        <f ca="1">U117/C119</f>
        <v>11109.155036243645</v>
      </c>
      <c r="B119" s="2" t="s">
        <v>110</v>
      </c>
      <c r="C119" s="10">
        <f>SUM(C118, H118*1.5, K118*1.5)</f>
        <v>288.84375</v>
      </c>
      <c r="D119" s="87">
        <f>(D118 * 209) +  F118</f>
        <v>2206880</v>
      </c>
      <c r="E119" s="97"/>
      <c r="F119" s="88"/>
      <c r="G119" s="87">
        <f>H118 * I118</f>
        <v>516176.86261107319</v>
      </c>
      <c r="H119" s="97"/>
      <c r="I119" s="88"/>
      <c r="J119" s="87">
        <f>K118 * L118</f>
        <v>326912.01298701303</v>
      </c>
      <c r="K119" s="97"/>
      <c r="L119" s="88"/>
      <c r="M119" s="98">
        <f>N118*O118</f>
        <v>0</v>
      </c>
      <c r="N119" s="99"/>
      <c r="O119" s="100"/>
      <c r="P119" s="87">
        <f ca="1">ROUND((P118 * Q118) / 12, -1)</f>
        <v>158850</v>
      </c>
      <c r="Q119" s="88"/>
      <c r="R119" s="15">
        <f>B116*0.5*R118</f>
        <v>0</v>
      </c>
      <c r="S119" s="90"/>
      <c r="T119" s="92"/>
      <c r="U119" s="10" t="s">
        <v>19</v>
      </c>
      <c r="V119" s="87">
        <f>D119+G119+J119+M119</f>
        <v>3049968.875598086</v>
      </c>
      <c r="W119" s="88"/>
    </row>
    <row r="122" spans="1:28">
      <c r="A122" s="2" t="s">
        <v>96</v>
      </c>
      <c r="B122" s="3">
        <f>( (D124 * 209) + F124 ) / 209</f>
        <v>10320</v>
      </c>
      <c r="C122" s="93" t="s">
        <v>3</v>
      </c>
      <c r="D122" s="94"/>
      <c r="E122" s="94"/>
      <c r="F122" s="95"/>
      <c r="G122" s="96" t="s">
        <v>14</v>
      </c>
      <c r="H122" s="94"/>
      <c r="I122" s="94"/>
      <c r="J122" s="94"/>
      <c r="K122" s="94"/>
      <c r="L122" s="94"/>
      <c r="M122" s="94"/>
      <c r="N122" s="94"/>
      <c r="O122" s="94"/>
      <c r="P122" s="94"/>
      <c r="Q122" s="95"/>
      <c r="R122" s="96" t="s">
        <v>15</v>
      </c>
      <c r="S122" s="94"/>
      <c r="T122" s="95"/>
      <c r="U122" s="96" t="s">
        <v>18</v>
      </c>
      <c r="V122" s="94"/>
      <c r="W122" s="95"/>
    </row>
    <row r="123" spans="1:28">
      <c r="A123" s="8" t="s">
        <v>0</v>
      </c>
      <c r="B123" s="4" t="s">
        <v>111</v>
      </c>
      <c r="C123" s="93" t="s">
        <v>4</v>
      </c>
      <c r="D123" s="95"/>
      <c r="E123" s="10" t="s">
        <v>5</v>
      </c>
      <c r="F123" s="10" t="s">
        <v>6</v>
      </c>
      <c r="G123" s="96" t="s">
        <v>7</v>
      </c>
      <c r="H123" s="94"/>
      <c r="I123" s="95"/>
      <c r="J123" s="96" t="s">
        <v>8</v>
      </c>
      <c r="K123" s="94"/>
      <c r="L123" s="95"/>
      <c r="M123" s="96" t="s">
        <v>10</v>
      </c>
      <c r="N123" s="94"/>
      <c r="O123" s="95"/>
      <c r="P123" s="96" t="s">
        <v>11</v>
      </c>
      <c r="Q123" s="95"/>
      <c r="R123" s="10" t="s">
        <v>9</v>
      </c>
      <c r="S123" s="10" t="s">
        <v>12</v>
      </c>
      <c r="T123" s="10" t="s">
        <v>13</v>
      </c>
      <c r="U123" s="101">
        <f ca="1">ROUNDDOWN(SUM(D125, G125, J125, M125, P125, R125, S124, T124), -1)</f>
        <v>3459050</v>
      </c>
      <c r="V123" s="102"/>
      <c r="W123" s="103"/>
      <c r="X123" s="63" t="s">
        <v>112</v>
      </c>
      <c r="Z123" s="66" t="s">
        <v>113</v>
      </c>
      <c r="AA123" s="67"/>
      <c r="AB123" t="s">
        <v>115</v>
      </c>
    </row>
    <row r="124" spans="1:28">
      <c r="A124" s="8" t="s">
        <v>1</v>
      </c>
      <c r="B124" s="17">
        <v>45824</v>
      </c>
      <c r="C124" s="10">
        <v>209</v>
      </c>
      <c r="D124" s="11">
        <v>10320</v>
      </c>
      <c r="E124" s="12">
        <v>0</v>
      </c>
      <c r="F124" s="12">
        <v>0</v>
      </c>
      <c r="G124" s="13">
        <v>7.5</v>
      </c>
      <c r="H124" s="13">
        <f>G124*365/84</f>
        <v>32.589285714285715</v>
      </c>
      <c r="I124" s="11">
        <f>B122 * 1.5</f>
        <v>15480</v>
      </c>
      <c r="J124" s="58">
        <v>9.5</v>
      </c>
      <c r="K124" s="10">
        <f>J124*365/84</f>
        <v>41.279761904761905</v>
      </c>
      <c r="L124" s="11">
        <f>B122 * 1.5</f>
        <v>15480</v>
      </c>
      <c r="M124" s="10"/>
      <c r="N124" s="10">
        <v>0</v>
      </c>
      <c r="O124" s="15">
        <f>B122*0.5</f>
        <v>5160</v>
      </c>
      <c r="P124" s="54">
        <f xml:space="preserve"> ROUND((D125 + G125 + J125 + M125) / 26, -1)</f>
        <v>126940</v>
      </c>
      <c r="Q124" s="10">
        <f ca="1">IF(DATEDIF(B124, EOMONTH(NOW(), 0), "Y") &lt; 1, 11, MIN(25, 15 + INT((DATEDIF(B124, EOMONTH(NOW(), 0), "Y") - 1) / 2)))</f>
        <v>15</v>
      </c>
      <c r="R124" s="16"/>
      <c r="S124" s="83"/>
      <c r="T124" s="83"/>
      <c r="U124" s="104"/>
      <c r="V124" s="105"/>
      <c r="W124" s="106"/>
    </row>
    <row r="125" spans="1:28">
      <c r="A125" s="18"/>
      <c r="B125" s="4" t="s">
        <v>17</v>
      </c>
      <c r="C125" s="10">
        <f>SUM(C124, H124*1.5, K124*1.5)</f>
        <v>319.80357142857144</v>
      </c>
      <c r="D125" s="87">
        <f>(D124 * 209)  + F124</f>
        <v>2156880</v>
      </c>
      <c r="E125" s="97"/>
      <c r="F125" s="88"/>
      <c r="G125" s="87">
        <f>H124 * I124</f>
        <v>504482.1428571429</v>
      </c>
      <c r="H125" s="97"/>
      <c r="I125" s="88"/>
      <c r="J125" s="87">
        <f>K124 * L124</f>
        <v>639010.71428571432</v>
      </c>
      <c r="K125" s="97"/>
      <c r="L125" s="88"/>
      <c r="M125" s="98">
        <f>N124*O124</f>
        <v>0</v>
      </c>
      <c r="N125" s="99"/>
      <c r="O125" s="100"/>
      <c r="P125" s="87">
        <f ca="1">ROUND((P124 * Q124) / 12, -1)</f>
        <v>158680</v>
      </c>
      <c r="Q125" s="88"/>
      <c r="R125" s="15">
        <f>B122*0.5*R124</f>
        <v>0</v>
      </c>
      <c r="S125" s="84"/>
      <c r="T125" s="84"/>
      <c r="U125" s="10" t="s">
        <v>19</v>
      </c>
      <c r="V125" s="87">
        <f>D125+F124+G125+L125+M125</f>
        <v>2661362.1428571427</v>
      </c>
      <c r="W125" s="88"/>
    </row>
    <row r="128" spans="1:28">
      <c r="A128" s="2" t="s">
        <v>96</v>
      </c>
      <c r="B128" s="20">
        <f>( (D130 * 209) + F130 ) / 209</f>
        <v>10320</v>
      </c>
      <c r="C128" s="93" t="s">
        <v>3</v>
      </c>
      <c r="D128" s="94"/>
      <c r="E128" s="94"/>
      <c r="F128" s="95"/>
      <c r="G128" s="96" t="s">
        <v>14</v>
      </c>
      <c r="H128" s="94"/>
      <c r="I128" s="94"/>
      <c r="J128" s="94"/>
      <c r="K128" s="94"/>
      <c r="L128" s="94"/>
      <c r="M128" s="94"/>
      <c r="N128" s="94"/>
      <c r="O128" s="94"/>
      <c r="P128" s="94"/>
      <c r="Q128" s="95"/>
      <c r="R128" s="96" t="s">
        <v>15</v>
      </c>
      <c r="S128" s="94"/>
      <c r="T128" s="95"/>
      <c r="U128" s="96" t="s">
        <v>18</v>
      </c>
      <c r="V128" s="94"/>
      <c r="W128" s="95"/>
    </row>
    <row r="129" spans="1:25">
      <c r="A129" s="9" t="s">
        <v>20</v>
      </c>
      <c r="B129" s="2" t="s">
        <v>114</v>
      </c>
      <c r="C129" s="93" t="s">
        <v>4</v>
      </c>
      <c r="D129" s="95"/>
      <c r="E129" s="10" t="s">
        <v>5</v>
      </c>
      <c r="F129" s="10" t="s">
        <v>6</v>
      </c>
      <c r="G129" s="96" t="s">
        <v>7</v>
      </c>
      <c r="H129" s="94"/>
      <c r="I129" s="95"/>
      <c r="J129" s="96" t="s">
        <v>8</v>
      </c>
      <c r="K129" s="94"/>
      <c r="L129" s="95"/>
      <c r="M129" s="96" t="s">
        <v>10</v>
      </c>
      <c r="N129" s="94"/>
      <c r="O129" s="95"/>
      <c r="P129" s="96" t="s">
        <v>11</v>
      </c>
      <c r="Q129" s="95"/>
      <c r="R129" s="10" t="s">
        <v>9</v>
      </c>
      <c r="S129" s="10" t="s">
        <v>12</v>
      </c>
      <c r="T129" s="10" t="s">
        <v>13</v>
      </c>
      <c r="U129" s="101">
        <f ca="1">ROUNDDOWN(SUM(D131, G131, J131, M131, P131, R131, S130, T130), -1)</f>
        <v>3094710</v>
      </c>
      <c r="V129" s="102"/>
      <c r="W129" s="103"/>
      <c r="Y129" s="63" t="s">
        <v>116</v>
      </c>
    </row>
    <row r="130" spans="1:25">
      <c r="A130" s="9" t="s">
        <v>21</v>
      </c>
      <c r="B130" s="19">
        <v>46024</v>
      </c>
      <c r="C130" s="10">
        <v>209</v>
      </c>
      <c r="D130" s="11">
        <v>10320</v>
      </c>
      <c r="E130" s="21"/>
      <c r="F130" s="21"/>
      <c r="G130" s="13">
        <v>7.5</v>
      </c>
      <c r="H130" s="13">
        <f>G130*365/84</f>
        <v>32.589285714285715</v>
      </c>
      <c r="I130" s="11">
        <f>B128 * 1.5</f>
        <v>15480</v>
      </c>
      <c r="J130" s="58">
        <v>4.75</v>
      </c>
      <c r="K130" s="10">
        <f>J130*365/84</f>
        <v>20.639880952380953</v>
      </c>
      <c r="L130" s="11">
        <f>B128 * 1.5</f>
        <v>15480</v>
      </c>
      <c r="M130" s="10"/>
      <c r="N130" s="10">
        <v>0</v>
      </c>
      <c r="O130" s="15">
        <f>B128*0.5</f>
        <v>5160</v>
      </c>
      <c r="P130" s="54">
        <f xml:space="preserve"> ROUND((D131 + G131 + J131 + M131) / 24, -1)</f>
        <v>124200</v>
      </c>
      <c r="Q130" s="10">
        <f ca="1">IF(DATEDIF(B130, EOMONTH(NOW(), 0), "Y") &lt; 1, 11, MIN(25, 15 + INT((DATEDIF(B130, EOMONTH(NOW(), 0), "Y") - 1) / 2)))</f>
        <v>11</v>
      </c>
      <c r="R130" s="22"/>
      <c r="S130" s="89"/>
      <c r="T130" s="91"/>
      <c r="U130" s="104"/>
      <c r="V130" s="105"/>
      <c r="W130" s="106"/>
    </row>
    <row r="131" spans="1:25">
      <c r="A131" s="18">
        <f ca="1">U129/C131</f>
        <v>10714.131775397598</v>
      </c>
      <c r="B131" s="2" t="s">
        <v>110</v>
      </c>
      <c r="C131" s="10">
        <f>SUM(C130, H130*1.5, K130*1.5)</f>
        <v>288.84375</v>
      </c>
      <c r="D131" s="87">
        <f>(D130 * 209) +  F130</f>
        <v>2156880</v>
      </c>
      <c r="E131" s="97"/>
      <c r="F131" s="88"/>
      <c r="G131" s="87">
        <f>H130 * I130</f>
        <v>504482.1428571429</v>
      </c>
      <c r="H131" s="97"/>
      <c r="I131" s="88"/>
      <c r="J131" s="87">
        <f>K130 * L130</f>
        <v>319505.35714285716</v>
      </c>
      <c r="K131" s="97"/>
      <c r="L131" s="88"/>
      <c r="M131" s="98">
        <f>N130*O130</f>
        <v>0</v>
      </c>
      <c r="N131" s="99"/>
      <c r="O131" s="100"/>
      <c r="P131" s="87">
        <f ca="1">ROUND((P130 * Q130) / 12, -1)</f>
        <v>113850</v>
      </c>
      <c r="Q131" s="88"/>
      <c r="R131" s="15">
        <f>B128*0.5*R130</f>
        <v>0</v>
      </c>
      <c r="S131" s="90"/>
      <c r="T131" s="92"/>
      <c r="U131" s="10" t="s">
        <v>19</v>
      </c>
      <c r="V131" s="87">
        <f>D131+G131+J131+M131</f>
        <v>2980867.5</v>
      </c>
      <c r="W131" s="88"/>
    </row>
    <row r="135" spans="1:25">
      <c r="A135" s="2" t="s">
        <v>123</v>
      </c>
      <c r="B135" s="3">
        <f>(A138+F137)/C138</f>
        <v>10320</v>
      </c>
      <c r="C135" s="79" t="s">
        <v>3</v>
      </c>
      <c r="D135" s="79"/>
      <c r="E135" s="79"/>
      <c r="F135" s="79"/>
      <c r="G135" s="79" t="s">
        <v>14</v>
      </c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 t="s">
        <v>15</v>
      </c>
      <c r="S135" s="79"/>
      <c r="T135" s="79"/>
      <c r="U135" s="79" t="s">
        <v>18</v>
      </c>
      <c r="V135" s="79"/>
      <c r="W135" s="79"/>
    </row>
    <row r="136" spans="1:25">
      <c r="A136" s="72" t="s">
        <v>89</v>
      </c>
      <c r="B136" s="4" t="s">
        <v>124</v>
      </c>
      <c r="C136" s="79" t="s">
        <v>4</v>
      </c>
      <c r="D136" s="79"/>
      <c r="E136" s="10" t="s">
        <v>5</v>
      </c>
      <c r="F136" s="10" t="s">
        <v>6</v>
      </c>
      <c r="G136" s="79" t="s">
        <v>7</v>
      </c>
      <c r="H136" s="79"/>
      <c r="I136" s="79"/>
      <c r="J136" s="79" t="s">
        <v>8</v>
      </c>
      <c r="K136" s="79"/>
      <c r="L136" s="79"/>
      <c r="M136" s="79" t="s">
        <v>10</v>
      </c>
      <c r="N136" s="79"/>
      <c r="O136" s="79"/>
      <c r="P136" s="79" t="s">
        <v>11</v>
      </c>
      <c r="Q136" s="79"/>
      <c r="R136" s="10" t="s">
        <v>9</v>
      </c>
      <c r="S136" s="10" t="s">
        <v>12</v>
      </c>
      <c r="T136" s="10" t="s">
        <v>13</v>
      </c>
      <c r="U136" s="80">
        <f ca="1">ROUNDDOWN(SUM(D138, G138, J138, M138, P138, R138, S137, T137), -1)</f>
        <v>3260000</v>
      </c>
      <c r="V136" s="80"/>
      <c r="W136" s="80"/>
    </row>
    <row r="137" spans="1:25">
      <c r="A137" s="73" t="s">
        <v>1</v>
      </c>
      <c r="B137" s="17">
        <v>45962</v>
      </c>
      <c r="C137" s="10">
        <v>209</v>
      </c>
      <c r="D137" s="11">
        <v>10320</v>
      </c>
      <c r="E137" s="12">
        <v>0</v>
      </c>
      <c r="F137" s="12">
        <v>0</v>
      </c>
      <c r="G137" s="13">
        <v>5</v>
      </c>
      <c r="H137" s="13">
        <f>G137*365/84</f>
        <v>21.726190476190474</v>
      </c>
      <c r="I137" s="11">
        <f>B135 * 1.5</f>
        <v>15480</v>
      </c>
      <c r="J137" s="58">
        <v>9</v>
      </c>
      <c r="K137" s="10">
        <f>J137*365/84</f>
        <v>39.107142857142854</v>
      </c>
      <c r="L137" s="11">
        <f>B135 * 1.5</f>
        <v>15480</v>
      </c>
      <c r="M137" s="10"/>
      <c r="N137" s="10">
        <v>0</v>
      </c>
      <c r="O137" s="15">
        <f>B135*0.5</f>
        <v>5160</v>
      </c>
      <c r="P137" s="54">
        <f>B135*8</f>
        <v>82560</v>
      </c>
      <c r="Q137" s="10">
        <f ca="1">IF(DATEDIF(B137, TODAY(), "m") &lt; 1, 0,
  IF(DATEDIF(B137, TODAY(), "y") &lt; 1, 8,
    MIN(25, 15 + INT((DATEDIF(B137, TODAY(), "y") - 1) / 2)) * 8 / 12
  )
)</f>
        <v>8</v>
      </c>
      <c r="R137" s="16"/>
      <c r="S137" s="81">
        <v>78860</v>
      </c>
      <c r="T137" s="83"/>
      <c r="U137" s="80"/>
      <c r="V137" s="80"/>
      <c r="W137" s="80"/>
    </row>
    <row r="138" spans="1:25">
      <c r="A138" s="75">
        <v>3098580</v>
      </c>
      <c r="B138" s="4" t="s">
        <v>17</v>
      </c>
      <c r="C138" s="10">
        <f>SUM(C137, H137*1.5, K137*1.5)</f>
        <v>300.25</v>
      </c>
      <c r="D138" s="80">
        <f>(D137 * 209)  + F137</f>
        <v>2156880</v>
      </c>
      <c r="E138" s="79"/>
      <c r="F138" s="79"/>
      <c r="G138" s="80">
        <f>H137 * I137</f>
        <v>336321.42857142852</v>
      </c>
      <c r="H138" s="79"/>
      <c r="I138" s="79"/>
      <c r="J138" s="80">
        <f>K137 * L137</f>
        <v>605378.57142857136</v>
      </c>
      <c r="K138" s="79"/>
      <c r="L138" s="79"/>
      <c r="M138" s="85">
        <f>N137*O137</f>
        <v>0</v>
      </c>
      <c r="N138" s="79"/>
      <c r="O138" s="79"/>
      <c r="P138" s="80">
        <f ca="1">B135*Q137</f>
        <v>82560</v>
      </c>
      <c r="Q138" s="80"/>
      <c r="R138" s="15">
        <f>B135*0.5*R137</f>
        <v>0</v>
      </c>
      <c r="S138" s="82"/>
      <c r="T138" s="84"/>
      <c r="U138" s="10" t="s">
        <v>19</v>
      </c>
      <c r="V138" s="87">
        <f>D138+F137+G138+L138+M138</f>
        <v>2493201.4285714286</v>
      </c>
      <c r="W138" s="88"/>
    </row>
    <row r="141" spans="1:25">
      <c r="A141" s="2" t="s">
        <v>123</v>
      </c>
      <c r="B141" s="3">
        <f>(A144+F143)/C144</f>
        <v>11229.24229808493</v>
      </c>
      <c r="C141" s="79" t="s">
        <v>3</v>
      </c>
      <c r="D141" s="79"/>
      <c r="E141" s="79"/>
      <c r="F141" s="79"/>
      <c r="G141" s="79" t="s">
        <v>14</v>
      </c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 t="s">
        <v>15</v>
      </c>
      <c r="S141" s="79"/>
      <c r="T141" s="79"/>
      <c r="U141" s="79" t="s">
        <v>18</v>
      </c>
      <c r="V141" s="79"/>
      <c r="W141" s="79"/>
    </row>
    <row r="142" spans="1:25">
      <c r="A142" s="72" t="s">
        <v>89</v>
      </c>
      <c r="B142" s="4" t="s">
        <v>125</v>
      </c>
      <c r="C142" s="79" t="s">
        <v>4</v>
      </c>
      <c r="D142" s="79"/>
      <c r="E142" s="10" t="s">
        <v>5</v>
      </c>
      <c r="F142" s="10" t="s">
        <v>6</v>
      </c>
      <c r="G142" s="79" t="s">
        <v>7</v>
      </c>
      <c r="H142" s="79"/>
      <c r="I142" s="79"/>
      <c r="J142" s="79" t="s">
        <v>8</v>
      </c>
      <c r="K142" s="79"/>
      <c r="L142" s="79"/>
      <c r="M142" s="79" t="s">
        <v>10</v>
      </c>
      <c r="N142" s="79"/>
      <c r="O142" s="79"/>
      <c r="P142" s="79" t="s">
        <v>11</v>
      </c>
      <c r="Q142" s="79"/>
      <c r="R142" s="10" t="s">
        <v>9</v>
      </c>
      <c r="S142" s="10" t="s">
        <v>12</v>
      </c>
      <c r="T142" s="10" t="s">
        <v>13</v>
      </c>
      <c r="U142" s="80">
        <f ca="1">ROUNDDOWN(SUM(D144, G144, J144, M144, P144, R144, S143, T143), -1)</f>
        <v>3600000</v>
      </c>
      <c r="V142" s="80"/>
      <c r="W142" s="80"/>
    </row>
    <row r="143" spans="1:25">
      <c r="A143" s="73" t="s">
        <v>1</v>
      </c>
      <c r="B143" s="17">
        <v>45962</v>
      </c>
      <c r="C143" s="10">
        <v>209</v>
      </c>
      <c r="D143" s="11">
        <v>10320</v>
      </c>
      <c r="E143" s="12">
        <v>200000</v>
      </c>
      <c r="F143" s="12">
        <v>273000</v>
      </c>
      <c r="G143" s="13">
        <v>5</v>
      </c>
      <c r="H143" s="13">
        <f>G143*365/84</f>
        <v>21.726190476190474</v>
      </c>
      <c r="I143" s="11">
        <f>B141 * 1.5</f>
        <v>16843.863447127394</v>
      </c>
      <c r="J143" s="58">
        <v>9</v>
      </c>
      <c r="K143" s="10">
        <f>J143*365/84</f>
        <v>39.107142857142854</v>
      </c>
      <c r="L143" s="11">
        <f>B141 * 1.5</f>
        <v>16843.863447127394</v>
      </c>
      <c r="M143" s="10"/>
      <c r="N143" s="10">
        <v>0</v>
      </c>
      <c r="O143" s="15">
        <f>B141*0.5</f>
        <v>5614.6211490424648</v>
      </c>
      <c r="P143" s="54">
        <f>B141*8</f>
        <v>89833.938384679437</v>
      </c>
      <c r="Q143" s="10">
        <f ca="1">IF(DATEDIF(B143, TODAY(), "m") &lt; 1, 0,
  IF(DATEDIF(B143, TODAY(), "y") &lt; 1, 8,
    MIN(25, 15 + INT((DATEDIF(B143, TODAY(), "y") - 1) / 2)) * 8 / 12
  )
)</f>
        <v>8</v>
      </c>
      <c r="R143" s="16"/>
      <c r="S143" s="81">
        <v>55620</v>
      </c>
      <c r="T143" s="83"/>
      <c r="U143" s="80"/>
      <c r="V143" s="80"/>
      <c r="W143" s="80"/>
    </row>
    <row r="144" spans="1:25">
      <c r="A144" s="75">
        <v>3098580</v>
      </c>
      <c r="B144" s="4" t="s">
        <v>17</v>
      </c>
      <c r="C144" s="10">
        <f>SUM(C143, H143*1.5, K143*1.5)</f>
        <v>300.25</v>
      </c>
      <c r="D144" s="80">
        <f>(D143 * 209)  + F143</f>
        <v>2429880</v>
      </c>
      <c r="E144" s="79"/>
      <c r="F144" s="79"/>
      <c r="G144" s="80">
        <f>H143 * I143</f>
        <v>365952.98560723203</v>
      </c>
      <c r="H144" s="79"/>
      <c r="I144" s="79"/>
      <c r="J144" s="80">
        <f>K143 * L143</f>
        <v>658715.37409301766</v>
      </c>
      <c r="K144" s="79"/>
      <c r="L144" s="79"/>
      <c r="M144" s="85">
        <f>N143*O143</f>
        <v>0</v>
      </c>
      <c r="N144" s="79"/>
      <c r="O144" s="79"/>
      <c r="P144" s="80">
        <f ca="1">B141*Q143</f>
        <v>89833.938384679437</v>
      </c>
      <c r="Q144" s="80"/>
      <c r="R144" s="15">
        <f>B141*0.5*R143</f>
        <v>0</v>
      </c>
      <c r="S144" s="82"/>
      <c r="T144" s="84"/>
      <c r="U144" s="10" t="s">
        <v>19</v>
      </c>
      <c r="V144" s="87">
        <f>D144+F143+G144+L144+M144</f>
        <v>3068832.985607232</v>
      </c>
      <c r="W144" s="88"/>
    </row>
    <row r="147" spans="1:23">
      <c r="A147" s="2" t="s">
        <v>123</v>
      </c>
      <c r="B147" s="3">
        <f>(A150+F149)/C150</f>
        <v>11319.167360532889</v>
      </c>
      <c r="C147" s="79" t="s">
        <v>3</v>
      </c>
      <c r="D147" s="79"/>
      <c r="E147" s="79"/>
      <c r="F147" s="79"/>
      <c r="G147" s="79" t="s">
        <v>14</v>
      </c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 t="s">
        <v>15</v>
      </c>
      <c r="S147" s="79"/>
      <c r="T147" s="79"/>
      <c r="U147" s="79" t="s">
        <v>18</v>
      </c>
      <c r="V147" s="79"/>
      <c r="W147" s="79"/>
    </row>
    <row r="148" spans="1:23">
      <c r="A148" s="72" t="s">
        <v>89</v>
      </c>
      <c r="B148" s="4" t="s">
        <v>126</v>
      </c>
      <c r="C148" s="79" t="s">
        <v>4</v>
      </c>
      <c r="D148" s="79"/>
      <c r="E148" s="10" t="s">
        <v>5</v>
      </c>
      <c r="F148" s="10" t="s">
        <v>6</v>
      </c>
      <c r="G148" s="79" t="s">
        <v>7</v>
      </c>
      <c r="H148" s="79"/>
      <c r="I148" s="79"/>
      <c r="J148" s="79" t="s">
        <v>8</v>
      </c>
      <c r="K148" s="79"/>
      <c r="L148" s="79"/>
      <c r="M148" s="79" t="s">
        <v>10</v>
      </c>
      <c r="N148" s="79"/>
      <c r="O148" s="79"/>
      <c r="P148" s="79" t="s">
        <v>11</v>
      </c>
      <c r="Q148" s="79"/>
      <c r="R148" s="10" t="s">
        <v>9</v>
      </c>
      <c r="S148" s="10" t="s">
        <v>12</v>
      </c>
      <c r="T148" s="10" t="s">
        <v>13</v>
      </c>
      <c r="U148" s="80">
        <f ca="1">ROUNDDOWN(SUM(D150, G150, J150, M150, P150, R150, S149, T149), -1)</f>
        <v>3635920</v>
      </c>
      <c r="V148" s="80"/>
      <c r="W148" s="80"/>
    </row>
    <row r="149" spans="1:23">
      <c r="A149" s="73" t="s">
        <v>1</v>
      </c>
      <c r="B149" s="17">
        <v>46015</v>
      </c>
      <c r="C149" s="10">
        <v>209</v>
      </c>
      <c r="D149" s="11">
        <v>10320</v>
      </c>
      <c r="E149" s="12">
        <v>200000</v>
      </c>
      <c r="F149" s="12">
        <v>300000</v>
      </c>
      <c r="G149" s="13">
        <v>5</v>
      </c>
      <c r="H149" s="13">
        <f>G149*365/84</f>
        <v>21.726190476190474</v>
      </c>
      <c r="I149" s="11">
        <f>B147 * 1.5</f>
        <v>16978.751040799332</v>
      </c>
      <c r="J149" s="58">
        <v>9</v>
      </c>
      <c r="K149" s="10">
        <f>J149*365/84</f>
        <v>39.107142857142854</v>
      </c>
      <c r="L149" s="11">
        <f>B147 * 1.5</f>
        <v>16978.751040799332</v>
      </c>
      <c r="M149" s="10"/>
      <c r="N149" s="10">
        <v>0</v>
      </c>
      <c r="O149" s="15">
        <f>B147*0.5</f>
        <v>5659.5836802664444</v>
      </c>
      <c r="P149" s="54">
        <f>B147*8</f>
        <v>90553.33888426311</v>
      </c>
      <c r="Q149" s="10">
        <f ca="1">IF(DATEDIF(B149, TODAY(), "m") &lt; 1, 0,
  IF(DATEDIF(B149, TODAY(), "y") &lt; 1, 8,
    MIN(25, 15 + INT((DATEDIF(B149, TODAY(), "y") - 1) / 2)) * 8 / 12
  )
)</f>
        <v>8</v>
      </c>
      <c r="R149" s="16"/>
      <c r="S149" s="81">
        <v>55620</v>
      </c>
      <c r="T149" s="83"/>
      <c r="U149" s="80"/>
      <c r="V149" s="80"/>
      <c r="W149" s="80"/>
    </row>
    <row r="150" spans="1:23">
      <c r="A150" s="75">
        <v>3098580</v>
      </c>
      <c r="B150" s="4" t="s">
        <v>17</v>
      </c>
      <c r="C150" s="10">
        <f>SUM(C149, H149*1.5, K149*1.5)</f>
        <v>300.25</v>
      </c>
      <c r="D150" s="80">
        <f>(D149 * 209)  + F149</f>
        <v>2456880</v>
      </c>
      <c r="E150" s="79"/>
      <c r="F150" s="79"/>
      <c r="G150" s="80">
        <f>H149 * I149</f>
        <v>368883.57916022354</v>
      </c>
      <c r="H150" s="79"/>
      <c r="I150" s="79"/>
      <c r="J150" s="80">
        <f>K149 * L149</f>
        <v>663990.44248840236</v>
      </c>
      <c r="K150" s="79"/>
      <c r="L150" s="79"/>
      <c r="M150" s="85">
        <f>N149*O149</f>
        <v>0</v>
      </c>
      <c r="N150" s="79"/>
      <c r="O150" s="79"/>
      <c r="P150" s="80">
        <f ca="1">B147*Q149</f>
        <v>90553.33888426311</v>
      </c>
      <c r="Q150" s="80"/>
      <c r="R150" s="15">
        <f>B147*0.5*R149</f>
        <v>0</v>
      </c>
      <c r="S150" s="82"/>
      <c r="T150" s="84"/>
      <c r="U150" s="10" t="s">
        <v>19</v>
      </c>
      <c r="V150" s="87">
        <f>D150+F149+G150+L150+M150</f>
        <v>3125763.5791602237</v>
      </c>
      <c r="W150" s="88"/>
    </row>
    <row r="153" spans="1:23">
      <c r="A153" s="2" t="s">
        <v>88</v>
      </c>
      <c r="B153" s="3">
        <f>(A156+F155)/C156</f>
        <v>10320</v>
      </c>
      <c r="C153" s="79" t="s">
        <v>3</v>
      </c>
      <c r="D153" s="79"/>
      <c r="E153" s="79"/>
      <c r="F153" s="79"/>
      <c r="G153" s="79" t="s">
        <v>14</v>
      </c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 t="s">
        <v>15</v>
      </c>
      <c r="S153" s="79"/>
      <c r="T153" s="79"/>
      <c r="U153" s="79" t="s">
        <v>18</v>
      </c>
      <c r="V153" s="79"/>
      <c r="W153" s="79"/>
    </row>
    <row r="154" spans="1:23">
      <c r="A154" s="71" t="s">
        <v>92</v>
      </c>
      <c r="B154" s="4" t="s">
        <v>127</v>
      </c>
      <c r="C154" s="79" t="s">
        <v>4</v>
      </c>
      <c r="D154" s="79"/>
      <c r="E154" s="10" t="s">
        <v>5</v>
      </c>
      <c r="F154" s="10" t="s">
        <v>6</v>
      </c>
      <c r="G154" s="79" t="s">
        <v>7</v>
      </c>
      <c r="H154" s="79"/>
      <c r="I154" s="79"/>
      <c r="J154" s="79" t="s">
        <v>8</v>
      </c>
      <c r="K154" s="79"/>
      <c r="L154" s="79"/>
      <c r="M154" s="79" t="s">
        <v>10</v>
      </c>
      <c r="N154" s="79"/>
      <c r="O154" s="79"/>
      <c r="P154" s="79" t="s">
        <v>11</v>
      </c>
      <c r="Q154" s="79"/>
      <c r="R154" s="10" t="s">
        <v>9</v>
      </c>
      <c r="S154" s="10" t="s">
        <v>12</v>
      </c>
      <c r="T154" s="10" t="s">
        <v>13</v>
      </c>
      <c r="U154" s="80">
        <f ca="1">ROUNDDOWN(SUM(D156, G156, J156, M156, P156, R156, S155, T155), -1)</f>
        <v>1550000</v>
      </c>
      <c r="V154" s="80"/>
      <c r="W154" s="80"/>
    </row>
    <row r="155" spans="1:23">
      <c r="A155" s="71" t="s">
        <v>93</v>
      </c>
      <c r="B155" s="17">
        <v>46005</v>
      </c>
      <c r="C155" s="10">
        <v>141</v>
      </c>
      <c r="D155" s="11">
        <v>10320</v>
      </c>
      <c r="E155" s="12"/>
      <c r="F155" s="12"/>
      <c r="G155" s="13"/>
      <c r="H155" s="13">
        <f>G155*365/84</f>
        <v>0</v>
      </c>
      <c r="I155" s="11">
        <f>B153 * 1.5</f>
        <v>15480</v>
      </c>
      <c r="J155" s="58"/>
      <c r="K155" s="10">
        <f>J155*365/84</f>
        <v>0</v>
      </c>
      <c r="L155" s="11">
        <f>B153 * 1.5</f>
        <v>15480</v>
      </c>
      <c r="M155" s="10"/>
      <c r="N155" s="10">
        <f>M155*365/84</f>
        <v>0</v>
      </c>
      <c r="O155" s="15">
        <f>B153*0.5</f>
        <v>5160</v>
      </c>
      <c r="P155" s="54">
        <f>B153*4.5</f>
        <v>46440</v>
      </c>
      <c r="Q155" s="10">
        <f ca="1">IF(DATEDIF(B155, TODAY(), "m") &lt; 1, 0,
  IF(DATEDIF(B155, TODAY(), "y") &lt; 1, 4.5,
    MIN(25, 15 + INT((DATEDIF(B155, TODAY(), "y") - 1) / 2)) * 4.5 / 12
  )
)</f>
        <v>4.5</v>
      </c>
      <c r="R155" s="16"/>
      <c r="S155" s="81">
        <v>48440</v>
      </c>
      <c r="T155" s="83"/>
      <c r="U155" s="80"/>
      <c r="V155" s="80"/>
      <c r="W155" s="80"/>
    </row>
    <row r="156" spans="1:23">
      <c r="A156" s="75">
        <v>1455120</v>
      </c>
      <c r="B156" s="4" t="s">
        <v>17</v>
      </c>
      <c r="C156" s="10">
        <f>SUM(C155, H155*1.5, K155*1.5)</f>
        <v>141</v>
      </c>
      <c r="D156" s="80">
        <f>(D155 * C155)  + F155</f>
        <v>1455120</v>
      </c>
      <c r="E156" s="79"/>
      <c r="F156" s="79"/>
      <c r="G156" s="80">
        <f>H155 * I155</f>
        <v>0</v>
      </c>
      <c r="H156" s="79"/>
      <c r="I156" s="79"/>
      <c r="J156" s="80">
        <f>K155 * L155</f>
        <v>0</v>
      </c>
      <c r="K156" s="79"/>
      <c r="L156" s="79"/>
      <c r="M156" s="85">
        <f>N155*O155</f>
        <v>0</v>
      </c>
      <c r="N156" s="79"/>
      <c r="O156" s="79"/>
      <c r="P156" s="80">
        <f ca="1">B153*Q155</f>
        <v>46440</v>
      </c>
      <c r="Q156" s="80"/>
      <c r="R156" s="15">
        <f>B153*0.5*R155</f>
        <v>0</v>
      </c>
      <c r="S156" s="82"/>
      <c r="T156" s="84"/>
      <c r="U156" s="10" t="s">
        <v>19</v>
      </c>
      <c r="V156" s="87">
        <f>D156+G156+J156+M156</f>
        <v>1455120</v>
      </c>
      <c r="W156" s="88"/>
    </row>
    <row r="159" spans="1:23">
      <c r="A159" s="2" t="s">
        <v>123</v>
      </c>
      <c r="B159" s="3">
        <f>(A162+F161)/C162</f>
        <v>10320</v>
      </c>
      <c r="C159" s="79" t="s">
        <v>3</v>
      </c>
      <c r="D159" s="79"/>
      <c r="E159" s="79"/>
      <c r="F159" s="79"/>
      <c r="G159" s="79" t="s">
        <v>14</v>
      </c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 t="s">
        <v>15</v>
      </c>
      <c r="S159" s="79"/>
      <c r="T159" s="79"/>
      <c r="U159" s="79" t="s">
        <v>18</v>
      </c>
      <c r="V159" s="79"/>
      <c r="W159" s="79"/>
    </row>
    <row r="160" spans="1:23">
      <c r="A160" s="72" t="s">
        <v>89</v>
      </c>
      <c r="B160" s="4" t="s">
        <v>128</v>
      </c>
      <c r="C160" s="79" t="s">
        <v>4</v>
      </c>
      <c r="D160" s="79"/>
      <c r="E160" s="10" t="s">
        <v>5</v>
      </c>
      <c r="F160" s="10" t="s">
        <v>6</v>
      </c>
      <c r="G160" s="79" t="s">
        <v>7</v>
      </c>
      <c r="H160" s="79"/>
      <c r="I160" s="79"/>
      <c r="J160" s="79" t="s">
        <v>8</v>
      </c>
      <c r="K160" s="79"/>
      <c r="L160" s="79"/>
      <c r="M160" s="79" t="s">
        <v>10</v>
      </c>
      <c r="N160" s="79"/>
      <c r="O160" s="79"/>
      <c r="P160" s="79" t="s">
        <v>11</v>
      </c>
      <c r="Q160" s="79"/>
      <c r="R160" s="10" t="s">
        <v>9</v>
      </c>
      <c r="S160" s="10" t="s">
        <v>12</v>
      </c>
      <c r="T160" s="10" t="s">
        <v>13</v>
      </c>
      <c r="U160" s="80">
        <f ca="1">ROUNDDOWN(SUM(D162, G162, J162, M162, P162, R162, S161, T161), -1)</f>
        <v>3300000</v>
      </c>
      <c r="V160" s="80"/>
      <c r="W160" s="80"/>
    </row>
    <row r="161" spans="1:23">
      <c r="A161" s="73" t="s">
        <v>1</v>
      </c>
      <c r="B161" s="17">
        <v>45962</v>
      </c>
      <c r="C161" s="10">
        <v>209</v>
      </c>
      <c r="D161" s="11">
        <v>10320</v>
      </c>
      <c r="E161" s="12">
        <v>0</v>
      </c>
      <c r="F161" s="12">
        <v>0</v>
      </c>
      <c r="G161" s="13">
        <v>5</v>
      </c>
      <c r="H161" s="13">
        <f>G161*365/84</f>
        <v>21.726190476190474</v>
      </c>
      <c r="I161" s="11">
        <f>B159 * 1.5</f>
        <v>15480</v>
      </c>
      <c r="J161" s="58">
        <v>9</v>
      </c>
      <c r="K161" s="10">
        <f>J161*365/84</f>
        <v>39.107142857142854</v>
      </c>
      <c r="L161" s="11">
        <f>B159 * 1.5</f>
        <v>15480</v>
      </c>
      <c r="M161" s="10"/>
      <c r="N161" s="10">
        <v>0</v>
      </c>
      <c r="O161" s="15">
        <f>B159*0.5</f>
        <v>5160</v>
      </c>
      <c r="P161" s="54">
        <f>B159*8</f>
        <v>82560</v>
      </c>
      <c r="Q161" s="10">
        <f ca="1">IF(DATEDIF(B161, TODAY(), "m") &lt; 1, 0,
  IF(DATEDIF(B161, TODAY(), "y") &lt; 1, 8,
    MIN(25, 15 + INT((DATEDIF(B161, TODAY(), "y") - 1) / 2)) * 8 / 12
  )
)</f>
        <v>8</v>
      </c>
      <c r="R161" s="16"/>
      <c r="S161" s="81">
        <v>118860</v>
      </c>
      <c r="T161" s="83"/>
      <c r="U161" s="80"/>
      <c r="V161" s="80"/>
      <c r="W161" s="80"/>
    </row>
    <row r="162" spans="1:23">
      <c r="A162" s="75">
        <v>3098580</v>
      </c>
      <c r="B162" s="4" t="s">
        <v>17</v>
      </c>
      <c r="C162" s="10">
        <f>SUM(C161, H161*1.5, K161*1.5)</f>
        <v>300.25</v>
      </c>
      <c r="D162" s="80">
        <f>(D161 * 209)  + F161</f>
        <v>2156880</v>
      </c>
      <c r="E162" s="79"/>
      <c r="F162" s="79"/>
      <c r="G162" s="80">
        <f>H161 * I161</f>
        <v>336321.42857142852</v>
      </c>
      <c r="H162" s="79"/>
      <c r="I162" s="79"/>
      <c r="J162" s="80">
        <f>K161 * L161</f>
        <v>605378.57142857136</v>
      </c>
      <c r="K162" s="79"/>
      <c r="L162" s="79"/>
      <c r="M162" s="85">
        <f>N161*O161</f>
        <v>0</v>
      </c>
      <c r="N162" s="79"/>
      <c r="O162" s="79"/>
      <c r="P162" s="80">
        <f ca="1">B159*Q161</f>
        <v>82560</v>
      </c>
      <c r="Q162" s="80"/>
      <c r="R162" s="15">
        <f>B159*0.5*R161</f>
        <v>0</v>
      </c>
      <c r="S162" s="82"/>
      <c r="T162" s="84"/>
      <c r="U162" s="10" t="s">
        <v>19</v>
      </c>
      <c r="V162" s="87">
        <f>D162+F161+G162+L162+M162</f>
        <v>2493201.4285714286</v>
      </c>
      <c r="W162" s="88"/>
    </row>
    <row r="165" spans="1:23">
      <c r="A165" s="2" t="s">
        <v>123</v>
      </c>
      <c r="B165" s="3">
        <v>9288</v>
      </c>
      <c r="C165" s="79" t="s">
        <v>3</v>
      </c>
      <c r="D165" s="79"/>
      <c r="E165" s="79"/>
      <c r="F165" s="79"/>
      <c r="G165" s="79" t="s">
        <v>14</v>
      </c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 t="s">
        <v>15</v>
      </c>
      <c r="S165" s="79"/>
      <c r="T165" s="79"/>
      <c r="U165" s="79" t="s">
        <v>18</v>
      </c>
      <c r="V165" s="79"/>
      <c r="W165" s="79"/>
    </row>
    <row r="166" spans="1:23">
      <c r="A166" s="72" t="s">
        <v>89</v>
      </c>
      <c r="B166" s="4" t="s">
        <v>146</v>
      </c>
      <c r="C166" s="79" t="s">
        <v>4</v>
      </c>
      <c r="D166" s="79"/>
      <c r="E166" s="10" t="s">
        <v>5</v>
      </c>
      <c r="F166" s="10" t="s">
        <v>6</v>
      </c>
      <c r="G166" s="79" t="s">
        <v>7</v>
      </c>
      <c r="H166" s="79"/>
      <c r="I166" s="79"/>
      <c r="J166" s="79" t="s">
        <v>8</v>
      </c>
      <c r="K166" s="79"/>
      <c r="L166" s="79"/>
      <c r="M166" s="79" t="s">
        <v>10</v>
      </c>
      <c r="N166" s="79"/>
      <c r="O166" s="79"/>
      <c r="P166" s="79" t="s">
        <v>11</v>
      </c>
      <c r="Q166" s="79"/>
      <c r="R166" s="10" t="s">
        <v>9</v>
      </c>
      <c r="S166" s="10" t="s">
        <v>12</v>
      </c>
      <c r="T166" s="10" t="s">
        <v>13</v>
      </c>
      <c r="U166" s="80">
        <f ca="1">ROUNDDOWN(SUM(D168, G168, J168, M168, P168, R168, S167, T167), -1)</f>
        <v>2970000</v>
      </c>
      <c r="V166" s="80"/>
      <c r="W166" s="80"/>
    </row>
    <row r="167" spans="1:23">
      <c r="A167" s="73" t="s">
        <v>1</v>
      </c>
      <c r="B167" s="17">
        <v>45962</v>
      </c>
      <c r="C167" s="10">
        <v>209</v>
      </c>
      <c r="D167" s="11">
        <v>9288</v>
      </c>
      <c r="E167" s="12">
        <v>0</v>
      </c>
      <c r="F167" s="12">
        <v>0</v>
      </c>
      <c r="G167" s="13">
        <v>5</v>
      </c>
      <c r="H167" s="13">
        <f>G167*365/84</f>
        <v>21.726190476190474</v>
      </c>
      <c r="I167" s="11">
        <f>B165 * 1.5</f>
        <v>13932</v>
      </c>
      <c r="J167" s="58">
        <v>9</v>
      </c>
      <c r="K167" s="10">
        <f>J167*365/84</f>
        <v>39.107142857142854</v>
      </c>
      <c r="L167" s="11">
        <f>B165 * 1.5</f>
        <v>13932</v>
      </c>
      <c r="M167" s="10"/>
      <c r="N167" s="10">
        <v>0</v>
      </c>
      <c r="O167" s="15">
        <f>B165*0.5</f>
        <v>4644</v>
      </c>
      <c r="P167" s="54">
        <f>B165*8</f>
        <v>74304</v>
      </c>
      <c r="Q167" s="10">
        <f ca="1">IF(DATEDIF(B167, TODAY(), "m") &lt; 1, 0,
  IF(DATEDIF(B167, TODAY(), "y") &lt; 1, 8,
    MIN(25, 15 + INT((DATEDIF(B167, TODAY(), "y") - 1) / 2)) * 8 / 12
  )
)</f>
        <v>8</v>
      </c>
      <c r="R167" s="16"/>
      <c r="S167" s="81">
        <v>106974</v>
      </c>
      <c r="T167" s="83"/>
      <c r="U167" s="80"/>
      <c r="V167" s="80"/>
      <c r="W167" s="80"/>
    </row>
    <row r="168" spans="1:23">
      <c r="A168" s="75">
        <v>3098580</v>
      </c>
      <c r="B168" s="4" t="s">
        <v>17</v>
      </c>
      <c r="C168" s="10">
        <f>SUM(C167, H167*1.5, K167*1.5)</f>
        <v>300.25</v>
      </c>
      <c r="D168" s="80">
        <f>(D167 * 209)  + F167</f>
        <v>1941192</v>
      </c>
      <c r="E168" s="79"/>
      <c r="F168" s="79"/>
      <c r="G168" s="80">
        <f>H167 * I167</f>
        <v>302689.28571428568</v>
      </c>
      <c r="H168" s="79"/>
      <c r="I168" s="79"/>
      <c r="J168" s="80">
        <f>K167 * L167</f>
        <v>544840.7142857142</v>
      </c>
      <c r="K168" s="79"/>
      <c r="L168" s="79"/>
      <c r="M168" s="85">
        <f>N167*O167</f>
        <v>0</v>
      </c>
      <c r="N168" s="79"/>
      <c r="O168" s="79"/>
      <c r="P168" s="80">
        <f ca="1">B165*Q167</f>
        <v>74304</v>
      </c>
      <c r="Q168" s="80"/>
      <c r="R168" s="15">
        <f>B165*0.5*R167</f>
        <v>0</v>
      </c>
      <c r="S168" s="82"/>
      <c r="T168" s="84"/>
      <c r="U168" s="10" t="s">
        <v>19</v>
      </c>
      <c r="V168" s="87">
        <f>D168+F167+G168+L168+M168</f>
        <v>2243881.2857142854</v>
      </c>
      <c r="W168" s="88"/>
    </row>
    <row r="169" spans="1:23">
      <c r="G169"/>
      <c r="H169"/>
      <c r="J169"/>
    </row>
    <row r="170" spans="1:23">
      <c r="C170" s="1"/>
      <c r="D170" s="1"/>
      <c r="E170" s="1"/>
      <c r="F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>
      <c r="A171" s="2" t="s">
        <v>123</v>
      </c>
      <c r="B171" s="3">
        <f>(A174+F173)/C174</f>
        <v>11319.167360532889</v>
      </c>
      <c r="C171" s="79" t="s">
        <v>3</v>
      </c>
      <c r="D171" s="79"/>
      <c r="E171" s="79"/>
      <c r="F171" s="79"/>
      <c r="G171" s="79" t="s">
        <v>14</v>
      </c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 t="s">
        <v>15</v>
      </c>
      <c r="S171" s="79"/>
      <c r="T171" s="79"/>
      <c r="U171" s="79" t="s">
        <v>18</v>
      </c>
      <c r="V171" s="79"/>
      <c r="W171" s="79"/>
    </row>
    <row r="172" spans="1:23">
      <c r="A172" s="72" t="s">
        <v>89</v>
      </c>
      <c r="B172" s="4" t="s">
        <v>126</v>
      </c>
      <c r="C172" s="79" t="s">
        <v>4</v>
      </c>
      <c r="D172" s="79"/>
      <c r="E172" s="10" t="s">
        <v>5</v>
      </c>
      <c r="F172" s="10" t="s">
        <v>6</v>
      </c>
      <c r="G172" s="79" t="s">
        <v>7</v>
      </c>
      <c r="H172" s="79"/>
      <c r="I172" s="79"/>
      <c r="J172" s="79" t="s">
        <v>8</v>
      </c>
      <c r="K172" s="79"/>
      <c r="L172" s="79"/>
      <c r="M172" s="79" t="s">
        <v>10</v>
      </c>
      <c r="N172" s="79"/>
      <c r="O172" s="79"/>
      <c r="P172" s="79" t="s">
        <v>11</v>
      </c>
      <c r="Q172" s="79"/>
      <c r="R172" s="10" t="s">
        <v>9</v>
      </c>
      <c r="S172" s="10" t="s">
        <v>12</v>
      </c>
      <c r="T172" s="10" t="s">
        <v>13</v>
      </c>
      <c r="U172" s="80">
        <f ca="1">ROUNDDOWN(SUM(D174, G174, J174, M174, P174, R174, S173, T173), -1)</f>
        <v>3789090</v>
      </c>
      <c r="V172" s="80"/>
      <c r="W172" s="80"/>
    </row>
    <row r="173" spans="1:23">
      <c r="A173" s="73" t="s">
        <v>1</v>
      </c>
      <c r="B173" s="17">
        <v>46015</v>
      </c>
      <c r="C173" s="10">
        <v>209</v>
      </c>
      <c r="D173" s="11">
        <v>11319</v>
      </c>
      <c r="E173" s="12">
        <v>200000</v>
      </c>
      <c r="F173" s="12">
        <v>300000</v>
      </c>
      <c r="G173" s="13">
        <v>5</v>
      </c>
      <c r="H173" s="13">
        <f>G173*365/84</f>
        <v>21.726190476190474</v>
      </c>
      <c r="I173" s="11">
        <f>B171 * 1.5</f>
        <v>16978.751040799332</v>
      </c>
      <c r="J173" s="58">
        <v>9</v>
      </c>
      <c r="K173" s="10">
        <f>J173*365/84</f>
        <v>39.107142857142854</v>
      </c>
      <c r="L173" s="11">
        <f>B171 * 1.5</f>
        <v>16978.751040799332</v>
      </c>
      <c r="M173" s="10"/>
      <c r="N173" s="10">
        <v>0</v>
      </c>
      <c r="O173" s="15">
        <f>B171*0.5</f>
        <v>5659.5836802664444</v>
      </c>
      <c r="P173" s="54">
        <f>B171*8</f>
        <v>90553.33888426311</v>
      </c>
      <c r="Q173" s="10">
        <f ca="1">IF(DATEDIF(B173, TODAY(), "m") &lt; 1, 0,
  IF(DATEDIF(B173, TODAY(), "y") &lt; 1, 8,
    MIN(25, 15 + INT((DATEDIF(B173, TODAY(), "y") - 1) / 2)) * 8 / 12
  )
)</f>
        <v>8</v>
      </c>
      <c r="R173" s="16"/>
      <c r="S173" s="81"/>
      <c r="T173" s="83"/>
      <c r="U173" s="80"/>
      <c r="V173" s="80"/>
      <c r="W173" s="80"/>
    </row>
    <row r="174" spans="1:23">
      <c r="A174" s="75">
        <v>3098580</v>
      </c>
      <c r="B174" s="4" t="s">
        <v>17</v>
      </c>
      <c r="C174" s="10">
        <f>SUM(C173, H173*1.5, K173*1.5)</f>
        <v>300.25</v>
      </c>
      <c r="D174" s="80">
        <f>(D173 * 209)  + F173</f>
        <v>2665671</v>
      </c>
      <c r="E174" s="79"/>
      <c r="F174" s="79"/>
      <c r="G174" s="80">
        <f>H173 * I173</f>
        <v>368883.57916022354</v>
      </c>
      <c r="H174" s="79"/>
      <c r="I174" s="79"/>
      <c r="J174" s="80">
        <f>K173 * L173</f>
        <v>663990.44248840236</v>
      </c>
      <c r="K174" s="79"/>
      <c r="L174" s="79"/>
      <c r="M174" s="85">
        <f>N173*O173</f>
        <v>0</v>
      </c>
      <c r="N174" s="79"/>
      <c r="O174" s="79"/>
      <c r="P174" s="80">
        <f ca="1">B171*Q173</f>
        <v>90553.33888426311</v>
      </c>
      <c r="Q174" s="80"/>
      <c r="R174" s="15">
        <f>B171*0.5*R173</f>
        <v>0</v>
      </c>
      <c r="S174" s="82"/>
      <c r="T174" s="84"/>
      <c r="U174" s="10" t="s">
        <v>19</v>
      </c>
      <c r="V174" s="87">
        <f>D174+F173+G174+L174+M174</f>
        <v>3334554.5791602237</v>
      </c>
      <c r="W174" s="88"/>
    </row>
    <row r="177" spans="1:25">
      <c r="A177" s="2" t="s">
        <v>123</v>
      </c>
      <c r="B177" s="3">
        <v>10320</v>
      </c>
      <c r="C177" s="79" t="s">
        <v>3</v>
      </c>
      <c r="D177" s="79"/>
      <c r="E177" s="79"/>
      <c r="F177" s="79"/>
      <c r="G177" s="79" t="s">
        <v>14</v>
      </c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 t="s">
        <v>15</v>
      </c>
      <c r="S177" s="79"/>
      <c r="T177" s="79"/>
      <c r="U177" s="79" t="s">
        <v>18</v>
      </c>
      <c r="V177" s="79"/>
      <c r="W177" s="79"/>
    </row>
    <row r="178" spans="1:25">
      <c r="A178" s="72" t="s">
        <v>89</v>
      </c>
      <c r="B178" s="4" t="s">
        <v>146</v>
      </c>
      <c r="C178" s="79" t="s">
        <v>4</v>
      </c>
      <c r="D178" s="79"/>
      <c r="E178" s="10" t="s">
        <v>5</v>
      </c>
      <c r="F178" s="10" t="s">
        <v>6</v>
      </c>
      <c r="G178" s="79" t="s">
        <v>7</v>
      </c>
      <c r="H178" s="79"/>
      <c r="I178" s="79"/>
      <c r="J178" s="79" t="s">
        <v>8</v>
      </c>
      <c r="K178" s="79"/>
      <c r="L178" s="79"/>
      <c r="M178" s="79" t="s">
        <v>10</v>
      </c>
      <c r="N178" s="79"/>
      <c r="O178" s="79"/>
      <c r="P178" s="79" t="s">
        <v>11</v>
      </c>
      <c r="Q178" s="79"/>
      <c r="R178" s="10" t="s">
        <v>9</v>
      </c>
      <c r="S178" s="10" t="s">
        <v>12</v>
      </c>
      <c r="T178" s="10" t="s">
        <v>13</v>
      </c>
      <c r="U178" s="80">
        <f ca="1">ROUNDDOWN(SUM(D180, G180, J180, M180, P180, R180, S179, T179), -1)</f>
        <v>3450190</v>
      </c>
      <c r="V178" s="80"/>
      <c r="W178" s="80"/>
      <c r="Y178" s="63" t="s">
        <v>149</v>
      </c>
    </row>
    <row r="179" spans="1:25">
      <c r="A179" s="73" t="s">
        <v>1</v>
      </c>
      <c r="B179" s="17">
        <v>45962</v>
      </c>
      <c r="C179" s="10">
        <v>209</v>
      </c>
      <c r="D179" s="11">
        <v>10320</v>
      </c>
      <c r="E179" s="12">
        <v>0</v>
      </c>
      <c r="F179" s="12">
        <v>0</v>
      </c>
      <c r="G179" s="13">
        <v>2.5</v>
      </c>
      <c r="H179" s="13">
        <f>G179*365/84</f>
        <v>10.863095238095237</v>
      </c>
      <c r="I179" s="11">
        <f>B177 * 1.5</f>
        <v>15480</v>
      </c>
      <c r="J179" s="58">
        <v>8.5</v>
      </c>
      <c r="K179" s="10">
        <f>J179*365/84</f>
        <v>36.93452380952381</v>
      </c>
      <c r="L179" s="11">
        <f>B177 * 1.5</f>
        <v>15480</v>
      </c>
      <c r="M179" s="10">
        <v>21</v>
      </c>
      <c r="N179" s="10">
        <f>M179*365/84</f>
        <v>91.25</v>
      </c>
      <c r="O179" s="15">
        <f>B177*0.5</f>
        <v>5160</v>
      </c>
      <c r="P179" s="54">
        <f>B177*8</f>
        <v>82560</v>
      </c>
      <c r="Q179" s="10">
        <f ca="1">IF(DATEDIF(B179, TODAY(), "m") &lt; 1, 0,
  IF(DATEDIF(B179, TODAY(), "y") &lt; 1, 8,
    MIN(25, 15 + INT((DATEDIF(B179, TODAY(), "y") - 1) / 2)) * 8 / 12
  )
)</f>
        <v>8</v>
      </c>
      <c r="R179" s="16"/>
      <c r="S179" s="81"/>
      <c r="T179" s="83"/>
      <c r="U179" s="80"/>
      <c r="V179" s="80"/>
      <c r="W179" s="80"/>
      <c r="Y179" t="s">
        <v>150</v>
      </c>
    </row>
    <row r="180" spans="1:25">
      <c r="A180" s="75">
        <v>3098580</v>
      </c>
      <c r="B180" s="4" t="s">
        <v>17</v>
      </c>
      <c r="C180" s="10">
        <f>SUM(C179, H179*1.5, K179*1.5)</f>
        <v>280.69642857142856</v>
      </c>
      <c r="D180" s="80">
        <f>(D179 * 209)  + F179</f>
        <v>2156880</v>
      </c>
      <c r="E180" s="79"/>
      <c r="F180" s="79"/>
      <c r="G180" s="80">
        <f>H179 * I179</f>
        <v>168160.71428571426</v>
      </c>
      <c r="H180" s="79"/>
      <c r="I180" s="79"/>
      <c r="J180" s="80">
        <f>K179 * L179</f>
        <v>571746.42857142864</v>
      </c>
      <c r="K180" s="79"/>
      <c r="L180" s="79"/>
      <c r="M180" s="85">
        <f>N179*O179</f>
        <v>470850</v>
      </c>
      <c r="N180" s="79"/>
      <c r="O180" s="79"/>
      <c r="P180" s="80">
        <f ca="1">B177*Q179</f>
        <v>82560</v>
      </c>
      <c r="Q180" s="80"/>
      <c r="R180" s="15">
        <f>B177*0.5*R179</f>
        <v>0</v>
      </c>
      <c r="S180" s="82"/>
      <c r="T180" s="84"/>
      <c r="U180" s="10" t="s">
        <v>19</v>
      </c>
      <c r="V180" s="87">
        <f>D180+F179+G180+L180+M180</f>
        <v>2795890.7142857141</v>
      </c>
      <c r="W180" s="88"/>
    </row>
    <row r="183" spans="1:25">
      <c r="A183" s="2" t="s">
        <v>123</v>
      </c>
      <c r="B183" s="3">
        <v>9288</v>
      </c>
      <c r="C183" s="79" t="s">
        <v>3</v>
      </c>
      <c r="D183" s="79"/>
      <c r="E183" s="79"/>
      <c r="F183" s="79"/>
      <c r="G183" s="79" t="s">
        <v>14</v>
      </c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 t="s">
        <v>15</v>
      </c>
      <c r="S183" s="79"/>
      <c r="T183" s="79"/>
      <c r="U183" s="79" t="s">
        <v>18</v>
      </c>
      <c r="V183" s="79"/>
      <c r="W183" s="79"/>
    </row>
    <row r="184" spans="1:25">
      <c r="A184" s="72" t="s">
        <v>89</v>
      </c>
      <c r="B184" s="4" t="s">
        <v>146</v>
      </c>
      <c r="C184" s="79" t="s">
        <v>4</v>
      </c>
      <c r="D184" s="79"/>
      <c r="E184" s="10" t="s">
        <v>5</v>
      </c>
      <c r="F184" s="10" t="s">
        <v>6</v>
      </c>
      <c r="G184" s="79" t="s">
        <v>7</v>
      </c>
      <c r="H184" s="79"/>
      <c r="I184" s="79"/>
      <c r="J184" s="79" t="s">
        <v>8</v>
      </c>
      <c r="K184" s="79"/>
      <c r="L184" s="79"/>
      <c r="M184" s="79" t="s">
        <v>10</v>
      </c>
      <c r="N184" s="79"/>
      <c r="O184" s="79"/>
      <c r="P184" s="79" t="s">
        <v>11</v>
      </c>
      <c r="Q184" s="79"/>
      <c r="R184" s="10" t="s">
        <v>9</v>
      </c>
      <c r="S184" s="10" t="s">
        <v>12</v>
      </c>
      <c r="T184" s="10" t="s">
        <v>13</v>
      </c>
      <c r="U184" s="80">
        <f ca="1">ROUNDDOWN(SUM(D186, G186, J186, M186, P186, R186, S185, T185), -1)</f>
        <v>3105170</v>
      </c>
      <c r="V184" s="80"/>
      <c r="W184" s="80"/>
    </row>
    <row r="185" spans="1:25">
      <c r="A185" s="73" t="s">
        <v>1</v>
      </c>
      <c r="B185" s="17">
        <v>45962</v>
      </c>
      <c r="C185" s="10">
        <v>209</v>
      </c>
      <c r="D185" s="11">
        <v>9288</v>
      </c>
      <c r="E185" s="12">
        <v>0</v>
      </c>
      <c r="F185" s="12">
        <v>0</v>
      </c>
      <c r="G185" s="13">
        <v>2.5</v>
      </c>
      <c r="H185" s="13">
        <f>G185*365/84</f>
        <v>10.863095238095237</v>
      </c>
      <c r="I185" s="11">
        <f>B183 * 1.5</f>
        <v>13932</v>
      </c>
      <c r="J185" s="58">
        <v>8.5</v>
      </c>
      <c r="K185" s="10">
        <f>J185*365/84</f>
        <v>36.93452380952381</v>
      </c>
      <c r="L185" s="11">
        <f>B183 * 1.5</f>
        <v>13932</v>
      </c>
      <c r="M185" s="10">
        <v>21</v>
      </c>
      <c r="N185" s="10">
        <f>M185*365/84</f>
        <v>91.25</v>
      </c>
      <c r="O185" s="15">
        <f>B183*0.5</f>
        <v>4644</v>
      </c>
      <c r="P185" s="54">
        <f>B183*8</f>
        <v>74304</v>
      </c>
      <c r="Q185" s="10">
        <f ca="1">IF(DATEDIF(B185, TODAY(), "m") &lt; 1, 0,
  IF(DATEDIF(B185, TODAY(), "y") &lt; 1, 8,
    MIN(25, 15 + INT((DATEDIF(B185, TODAY(), "y") - 1) / 2)) * 8 / 12
  )
)</f>
        <v>8</v>
      </c>
      <c r="R185" s="16"/>
      <c r="S185" s="81"/>
      <c r="T185" s="83"/>
      <c r="U185" s="80"/>
      <c r="V185" s="80"/>
      <c r="W185" s="80"/>
    </row>
    <row r="186" spans="1:25">
      <c r="A186" s="75">
        <v>3098580</v>
      </c>
      <c r="B186" s="4" t="s">
        <v>17</v>
      </c>
      <c r="C186" s="10">
        <f>SUM(C185, H185*1.5, K185*1.5)</f>
        <v>280.69642857142856</v>
      </c>
      <c r="D186" s="80">
        <f>(D185 * 209)  + F185</f>
        <v>1941192</v>
      </c>
      <c r="E186" s="79"/>
      <c r="F186" s="79"/>
      <c r="G186" s="80">
        <f>H185 * I185</f>
        <v>151344.64285714284</v>
      </c>
      <c r="H186" s="79"/>
      <c r="I186" s="79"/>
      <c r="J186" s="80">
        <f>K185 * L185</f>
        <v>514571.78571428574</v>
      </c>
      <c r="K186" s="79"/>
      <c r="L186" s="79"/>
      <c r="M186" s="85">
        <f>N185*O185</f>
        <v>423765</v>
      </c>
      <c r="N186" s="79"/>
      <c r="O186" s="79"/>
      <c r="P186" s="80">
        <f ca="1">B183*Q185</f>
        <v>74304</v>
      </c>
      <c r="Q186" s="80"/>
      <c r="R186" s="15">
        <f>B183*0.5*R185</f>
        <v>0</v>
      </c>
      <c r="S186" s="82"/>
      <c r="T186" s="84"/>
      <c r="U186" s="10" t="s">
        <v>19</v>
      </c>
      <c r="V186" s="87">
        <f>D186+F185+G186+L186+M186</f>
        <v>2516301.6428571427</v>
      </c>
      <c r="W186" s="88"/>
    </row>
  </sheetData>
  <mergeCells count="562">
    <mergeCell ref="C183:F183"/>
    <mergeCell ref="G183:Q183"/>
    <mergeCell ref="R183:T183"/>
    <mergeCell ref="U183:W183"/>
    <mergeCell ref="C184:D184"/>
    <mergeCell ref="G184:I184"/>
    <mergeCell ref="J184:L184"/>
    <mergeCell ref="M184:O184"/>
    <mergeCell ref="P184:Q184"/>
    <mergeCell ref="U184:W185"/>
    <mergeCell ref="S185:S186"/>
    <mergeCell ref="T185:T186"/>
    <mergeCell ref="D186:F186"/>
    <mergeCell ref="G186:I186"/>
    <mergeCell ref="J186:L186"/>
    <mergeCell ref="M186:O186"/>
    <mergeCell ref="P186:Q186"/>
    <mergeCell ref="V186:W186"/>
    <mergeCell ref="C177:F177"/>
    <mergeCell ref="G177:Q177"/>
    <mergeCell ref="R177:T177"/>
    <mergeCell ref="U177:W177"/>
    <mergeCell ref="C178:D178"/>
    <mergeCell ref="G178:I178"/>
    <mergeCell ref="J178:L178"/>
    <mergeCell ref="M178:O178"/>
    <mergeCell ref="P178:Q178"/>
    <mergeCell ref="U178:W179"/>
    <mergeCell ref="S179:S180"/>
    <mergeCell ref="T179:T180"/>
    <mergeCell ref="D180:F180"/>
    <mergeCell ref="G180:I180"/>
    <mergeCell ref="J180:L180"/>
    <mergeCell ref="M180:O180"/>
    <mergeCell ref="P180:Q180"/>
    <mergeCell ref="V180:W180"/>
    <mergeCell ref="C165:F165"/>
    <mergeCell ref="G165:Q165"/>
    <mergeCell ref="R165:T165"/>
    <mergeCell ref="U165:W165"/>
    <mergeCell ref="C166:D166"/>
    <mergeCell ref="G166:I166"/>
    <mergeCell ref="J166:L166"/>
    <mergeCell ref="M166:O166"/>
    <mergeCell ref="P166:Q166"/>
    <mergeCell ref="U166:W167"/>
    <mergeCell ref="S167:S168"/>
    <mergeCell ref="T167:T168"/>
    <mergeCell ref="D168:F168"/>
    <mergeCell ref="G168:I168"/>
    <mergeCell ref="J168:L168"/>
    <mergeCell ref="M168:O168"/>
    <mergeCell ref="P168:Q168"/>
    <mergeCell ref="V168:W168"/>
    <mergeCell ref="C1:F1"/>
    <mergeCell ref="G1:Q1"/>
    <mergeCell ref="R1:T1"/>
    <mergeCell ref="U1:W1"/>
    <mergeCell ref="X1:Y22"/>
    <mergeCell ref="C2:D2"/>
    <mergeCell ref="G2:I2"/>
    <mergeCell ref="J2:L2"/>
    <mergeCell ref="M2:O2"/>
    <mergeCell ref="P2:Q2"/>
    <mergeCell ref="U2:W3"/>
    <mergeCell ref="S3:S4"/>
    <mergeCell ref="T3:T4"/>
    <mergeCell ref="D4:F4"/>
    <mergeCell ref="G4:I4"/>
    <mergeCell ref="J4:L4"/>
    <mergeCell ref="M4:O4"/>
    <mergeCell ref="P4:Q4"/>
    <mergeCell ref="V4:W4"/>
    <mergeCell ref="A5:W6"/>
    <mergeCell ref="C7:F7"/>
    <mergeCell ref="G7:Q7"/>
    <mergeCell ref="R7:T7"/>
    <mergeCell ref="U7:W7"/>
    <mergeCell ref="C8:D8"/>
    <mergeCell ref="G8:I8"/>
    <mergeCell ref="J8:L8"/>
    <mergeCell ref="M8:O8"/>
    <mergeCell ref="P8:Q8"/>
    <mergeCell ref="U8:W9"/>
    <mergeCell ref="S9:S10"/>
    <mergeCell ref="T9:T10"/>
    <mergeCell ref="D10:F10"/>
    <mergeCell ref="G10:I10"/>
    <mergeCell ref="J10:L10"/>
    <mergeCell ref="M10:O10"/>
    <mergeCell ref="P10:Q10"/>
    <mergeCell ref="V10:W10"/>
    <mergeCell ref="A11:W12"/>
    <mergeCell ref="C13:F13"/>
    <mergeCell ref="G13:Q13"/>
    <mergeCell ref="R13:T13"/>
    <mergeCell ref="U13:W13"/>
    <mergeCell ref="C14:D14"/>
    <mergeCell ref="G14:I14"/>
    <mergeCell ref="J14:L14"/>
    <mergeCell ref="M14:O14"/>
    <mergeCell ref="P14:Q14"/>
    <mergeCell ref="U14:W15"/>
    <mergeCell ref="S15:S16"/>
    <mergeCell ref="T15:T16"/>
    <mergeCell ref="D16:F16"/>
    <mergeCell ref="G16:I16"/>
    <mergeCell ref="J16:L16"/>
    <mergeCell ref="M16:O16"/>
    <mergeCell ref="P16:Q16"/>
    <mergeCell ref="V16:W16"/>
    <mergeCell ref="A17:W18"/>
    <mergeCell ref="C19:F19"/>
    <mergeCell ref="G19:Q19"/>
    <mergeCell ref="R19:T19"/>
    <mergeCell ref="U19:W19"/>
    <mergeCell ref="C20:D20"/>
    <mergeCell ref="G20:I20"/>
    <mergeCell ref="J20:L20"/>
    <mergeCell ref="M20:O20"/>
    <mergeCell ref="P20:Q20"/>
    <mergeCell ref="U20:W21"/>
    <mergeCell ref="S21:S22"/>
    <mergeCell ref="T21:T22"/>
    <mergeCell ref="D22:F22"/>
    <mergeCell ref="G22:I22"/>
    <mergeCell ref="J22:L22"/>
    <mergeCell ref="M22:O22"/>
    <mergeCell ref="P22:Q22"/>
    <mergeCell ref="V22:W22"/>
    <mergeCell ref="C25:F25"/>
    <mergeCell ref="G25:Q25"/>
    <mergeCell ref="R25:T25"/>
    <mergeCell ref="U25:W25"/>
    <mergeCell ref="C26:D26"/>
    <mergeCell ref="G26:I26"/>
    <mergeCell ref="J26:L26"/>
    <mergeCell ref="M26:O26"/>
    <mergeCell ref="P26:Q26"/>
    <mergeCell ref="U26:W27"/>
    <mergeCell ref="V28:W28"/>
    <mergeCell ref="C31:F31"/>
    <mergeCell ref="G31:Q31"/>
    <mergeCell ref="R31:T31"/>
    <mergeCell ref="U31:W31"/>
    <mergeCell ref="C32:D32"/>
    <mergeCell ref="G32:I32"/>
    <mergeCell ref="J32:L32"/>
    <mergeCell ref="M32:O32"/>
    <mergeCell ref="P32:Q32"/>
    <mergeCell ref="S27:S28"/>
    <mergeCell ref="T27:T28"/>
    <mergeCell ref="D28:F28"/>
    <mergeCell ref="G28:I28"/>
    <mergeCell ref="J28:L28"/>
    <mergeCell ref="M28:O28"/>
    <mergeCell ref="P28:Q28"/>
    <mergeCell ref="U32:W33"/>
    <mergeCell ref="S33:S34"/>
    <mergeCell ref="T33:T34"/>
    <mergeCell ref="D34:F34"/>
    <mergeCell ref="G34:I34"/>
    <mergeCell ref="J34:L34"/>
    <mergeCell ref="M34:O34"/>
    <mergeCell ref="P34:Q34"/>
    <mergeCell ref="V34:W34"/>
    <mergeCell ref="C37:F37"/>
    <mergeCell ref="G37:Q37"/>
    <mergeCell ref="R37:T37"/>
    <mergeCell ref="U37:W37"/>
    <mergeCell ref="C38:D38"/>
    <mergeCell ref="G38:I38"/>
    <mergeCell ref="J38:L38"/>
    <mergeCell ref="M38:O38"/>
    <mergeCell ref="P38:Q38"/>
    <mergeCell ref="U38:W39"/>
    <mergeCell ref="V40:W40"/>
    <mergeCell ref="C43:F43"/>
    <mergeCell ref="G43:Q43"/>
    <mergeCell ref="R43:T43"/>
    <mergeCell ref="U43:W43"/>
    <mergeCell ref="C44:D44"/>
    <mergeCell ref="G44:I44"/>
    <mergeCell ref="J44:L44"/>
    <mergeCell ref="M44:O44"/>
    <mergeCell ref="P44:Q44"/>
    <mergeCell ref="S39:S40"/>
    <mergeCell ref="T39:T40"/>
    <mergeCell ref="D40:F40"/>
    <mergeCell ref="G40:I40"/>
    <mergeCell ref="J40:L40"/>
    <mergeCell ref="M40:O40"/>
    <mergeCell ref="P40:Q40"/>
    <mergeCell ref="U44:W45"/>
    <mergeCell ref="S45:S46"/>
    <mergeCell ref="T45:T46"/>
    <mergeCell ref="D46:F46"/>
    <mergeCell ref="G46:I46"/>
    <mergeCell ref="J46:L46"/>
    <mergeCell ref="M46:O46"/>
    <mergeCell ref="P46:Q46"/>
    <mergeCell ref="V46:W46"/>
    <mergeCell ref="C49:F49"/>
    <mergeCell ref="G49:Q49"/>
    <mergeCell ref="R49:T49"/>
    <mergeCell ref="U49:W49"/>
    <mergeCell ref="C50:D50"/>
    <mergeCell ref="G50:I50"/>
    <mergeCell ref="J50:L50"/>
    <mergeCell ref="M50:O50"/>
    <mergeCell ref="P50:Q50"/>
    <mergeCell ref="U50:W51"/>
    <mergeCell ref="V52:W52"/>
    <mergeCell ref="C55:F55"/>
    <mergeCell ref="G55:Q55"/>
    <mergeCell ref="R55:T55"/>
    <mergeCell ref="U55:W55"/>
    <mergeCell ref="C56:D56"/>
    <mergeCell ref="G56:I56"/>
    <mergeCell ref="J56:L56"/>
    <mergeCell ref="M56:O56"/>
    <mergeCell ref="P56:Q56"/>
    <mergeCell ref="S51:S52"/>
    <mergeCell ref="T51:T52"/>
    <mergeCell ref="D52:F52"/>
    <mergeCell ref="G52:I52"/>
    <mergeCell ref="J52:L52"/>
    <mergeCell ref="M52:O52"/>
    <mergeCell ref="P52:Q52"/>
    <mergeCell ref="U56:W57"/>
    <mergeCell ref="S57:S58"/>
    <mergeCell ref="T57:T58"/>
    <mergeCell ref="D58:F58"/>
    <mergeCell ref="G58:I58"/>
    <mergeCell ref="J58:L58"/>
    <mergeCell ref="M58:O58"/>
    <mergeCell ref="P58:Q58"/>
    <mergeCell ref="V58:W58"/>
    <mergeCell ref="C61:F61"/>
    <mergeCell ref="G61:Q61"/>
    <mergeCell ref="R61:T61"/>
    <mergeCell ref="U61:W61"/>
    <mergeCell ref="C62:D62"/>
    <mergeCell ref="G62:I62"/>
    <mergeCell ref="J62:L62"/>
    <mergeCell ref="M62:O62"/>
    <mergeCell ref="P62:Q62"/>
    <mergeCell ref="U62:W63"/>
    <mergeCell ref="V64:W64"/>
    <mergeCell ref="C67:F67"/>
    <mergeCell ref="G67:Q67"/>
    <mergeCell ref="R67:T67"/>
    <mergeCell ref="U67:W67"/>
    <mergeCell ref="C68:D68"/>
    <mergeCell ref="G68:I68"/>
    <mergeCell ref="J68:L68"/>
    <mergeCell ref="M68:O68"/>
    <mergeCell ref="P68:Q68"/>
    <mergeCell ref="S63:S64"/>
    <mergeCell ref="T63:T64"/>
    <mergeCell ref="D64:F64"/>
    <mergeCell ref="G64:I64"/>
    <mergeCell ref="J64:L64"/>
    <mergeCell ref="M64:O64"/>
    <mergeCell ref="P64:Q64"/>
    <mergeCell ref="U68:W69"/>
    <mergeCell ref="S69:S70"/>
    <mergeCell ref="T69:T70"/>
    <mergeCell ref="D70:F70"/>
    <mergeCell ref="G70:I70"/>
    <mergeCell ref="J70:L70"/>
    <mergeCell ref="M70:O70"/>
    <mergeCell ref="P70:Q70"/>
    <mergeCell ref="V70:W70"/>
    <mergeCell ref="C73:F73"/>
    <mergeCell ref="G73:Q73"/>
    <mergeCell ref="R73:T73"/>
    <mergeCell ref="U73:W73"/>
    <mergeCell ref="C74:D74"/>
    <mergeCell ref="G74:I74"/>
    <mergeCell ref="J74:L74"/>
    <mergeCell ref="M74:O74"/>
    <mergeCell ref="P74:Q74"/>
    <mergeCell ref="U74:W75"/>
    <mergeCell ref="V76:W76"/>
    <mergeCell ref="C80:F80"/>
    <mergeCell ref="G80:Q80"/>
    <mergeCell ref="R80:T80"/>
    <mergeCell ref="U80:W80"/>
    <mergeCell ref="C81:D81"/>
    <mergeCell ref="G81:I81"/>
    <mergeCell ref="J81:L81"/>
    <mergeCell ref="M81:O81"/>
    <mergeCell ref="P81:Q81"/>
    <mergeCell ref="S75:S76"/>
    <mergeCell ref="T75:T76"/>
    <mergeCell ref="D76:F76"/>
    <mergeCell ref="G76:I76"/>
    <mergeCell ref="J76:L76"/>
    <mergeCell ref="M76:O76"/>
    <mergeCell ref="P76:Q76"/>
    <mergeCell ref="U81:W82"/>
    <mergeCell ref="S82:S83"/>
    <mergeCell ref="T82:T83"/>
    <mergeCell ref="D83:F83"/>
    <mergeCell ref="G83:I83"/>
    <mergeCell ref="J83:L83"/>
    <mergeCell ref="M83:O83"/>
    <mergeCell ref="P83:Q83"/>
    <mergeCell ref="V83:W83"/>
    <mergeCell ref="C86:F86"/>
    <mergeCell ref="G86:Q86"/>
    <mergeCell ref="R86:T86"/>
    <mergeCell ref="U86:W86"/>
    <mergeCell ref="C87:D87"/>
    <mergeCell ref="G87:I87"/>
    <mergeCell ref="J87:L87"/>
    <mergeCell ref="M87:O87"/>
    <mergeCell ref="P87:Q87"/>
    <mergeCell ref="U87:W88"/>
    <mergeCell ref="V89:W89"/>
    <mergeCell ref="C92:F92"/>
    <mergeCell ref="G92:Q92"/>
    <mergeCell ref="R92:T92"/>
    <mergeCell ref="U92:W92"/>
    <mergeCell ref="C93:D93"/>
    <mergeCell ref="G93:I93"/>
    <mergeCell ref="J93:L93"/>
    <mergeCell ref="M93:O93"/>
    <mergeCell ref="P93:Q93"/>
    <mergeCell ref="S88:S89"/>
    <mergeCell ref="T88:T89"/>
    <mergeCell ref="D89:F89"/>
    <mergeCell ref="G89:I89"/>
    <mergeCell ref="J89:L89"/>
    <mergeCell ref="M89:O89"/>
    <mergeCell ref="P89:Q89"/>
    <mergeCell ref="U93:W94"/>
    <mergeCell ref="S94:S95"/>
    <mergeCell ref="T94:T95"/>
    <mergeCell ref="D95:F95"/>
    <mergeCell ref="G95:I95"/>
    <mergeCell ref="J95:L95"/>
    <mergeCell ref="M95:O95"/>
    <mergeCell ref="P95:Q95"/>
    <mergeCell ref="V95:W95"/>
    <mergeCell ref="C98:F98"/>
    <mergeCell ref="G98:Q98"/>
    <mergeCell ref="R98:T98"/>
    <mergeCell ref="U98:W98"/>
    <mergeCell ref="C99:D99"/>
    <mergeCell ref="G99:I99"/>
    <mergeCell ref="J99:L99"/>
    <mergeCell ref="M99:O99"/>
    <mergeCell ref="P99:Q99"/>
    <mergeCell ref="U99:W100"/>
    <mergeCell ref="V101:W101"/>
    <mergeCell ref="C104:F104"/>
    <mergeCell ref="G104:Q104"/>
    <mergeCell ref="R104:T104"/>
    <mergeCell ref="U104:W104"/>
    <mergeCell ref="C105:D105"/>
    <mergeCell ref="G105:I105"/>
    <mergeCell ref="J105:L105"/>
    <mergeCell ref="M105:O105"/>
    <mergeCell ref="P105:Q105"/>
    <mergeCell ref="S100:S101"/>
    <mergeCell ref="T100:T101"/>
    <mergeCell ref="D101:F101"/>
    <mergeCell ref="G101:I101"/>
    <mergeCell ref="J101:L101"/>
    <mergeCell ref="M101:O101"/>
    <mergeCell ref="P101:Q101"/>
    <mergeCell ref="U105:W106"/>
    <mergeCell ref="S106:S107"/>
    <mergeCell ref="T106:T107"/>
    <mergeCell ref="D107:F107"/>
    <mergeCell ref="G107:I107"/>
    <mergeCell ref="J107:L107"/>
    <mergeCell ref="M107:O107"/>
    <mergeCell ref="P107:Q107"/>
    <mergeCell ref="V107:W107"/>
    <mergeCell ref="C110:F110"/>
    <mergeCell ref="G110:Q110"/>
    <mergeCell ref="R110:T110"/>
    <mergeCell ref="U110:W110"/>
    <mergeCell ref="C111:D111"/>
    <mergeCell ref="G111:I111"/>
    <mergeCell ref="J111:L111"/>
    <mergeCell ref="M111:O111"/>
    <mergeCell ref="P111:Q111"/>
    <mergeCell ref="U111:W112"/>
    <mergeCell ref="V113:W113"/>
    <mergeCell ref="C116:F116"/>
    <mergeCell ref="G116:Q116"/>
    <mergeCell ref="R116:T116"/>
    <mergeCell ref="U116:W116"/>
    <mergeCell ref="C117:D117"/>
    <mergeCell ref="G117:I117"/>
    <mergeCell ref="J117:L117"/>
    <mergeCell ref="M117:O117"/>
    <mergeCell ref="P117:Q117"/>
    <mergeCell ref="S112:S113"/>
    <mergeCell ref="T112:T113"/>
    <mergeCell ref="D113:F113"/>
    <mergeCell ref="G113:I113"/>
    <mergeCell ref="J113:L113"/>
    <mergeCell ref="M113:O113"/>
    <mergeCell ref="P113:Q113"/>
    <mergeCell ref="U117:W118"/>
    <mergeCell ref="S118:S119"/>
    <mergeCell ref="T118:T119"/>
    <mergeCell ref="D119:F119"/>
    <mergeCell ref="G119:I119"/>
    <mergeCell ref="J119:L119"/>
    <mergeCell ref="M119:O119"/>
    <mergeCell ref="P119:Q119"/>
    <mergeCell ref="V119:W119"/>
    <mergeCell ref="C122:F122"/>
    <mergeCell ref="G122:Q122"/>
    <mergeCell ref="R122:T122"/>
    <mergeCell ref="U122:W122"/>
    <mergeCell ref="C123:D123"/>
    <mergeCell ref="G123:I123"/>
    <mergeCell ref="J123:L123"/>
    <mergeCell ref="M123:O123"/>
    <mergeCell ref="P123:Q123"/>
    <mergeCell ref="U123:W124"/>
    <mergeCell ref="V125:W125"/>
    <mergeCell ref="C128:F128"/>
    <mergeCell ref="G128:Q128"/>
    <mergeCell ref="R128:T128"/>
    <mergeCell ref="U128:W128"/>
    <mergeCell ref="C129:D129"/>
    <mergeCell ref="G129:I129"/>
    <mergeCell ref="J129:L129"/>
    <mergeCell ref="M129:O129"/>
    <mergeCell ref="P129:Q129"/>
    <mergeCell ref="S124:S125"/>
    <mergeCell ref="T124:T125"/>
    <mergeCell ref="D125:F125"/>
    <mergeCell ref="G125:I125"/>
    <mergeCell ref="J125:L125"/>
    <mergeCell ref="M125:O125"/>
    <mergeCell ref="P125:Q125"/>
    <mergeCell ref="U129:W130"/>
    <mergeCell ref="S130:S131"/>
    <mergeCell ref="T130:T131"/>
    <mergeCell ref="D131:F131"/>
    <mergeCell ref="G131:I131"/>
    <mergeCell ref="J131:L131"/>
    <mergeCell ref="M131:O131"/>
    <mergeCell ref="P131:Q131"/>
    <mergeCell ref="V131:W131"/>
    <mergeCell ref="C135:F135"/>
    <mergeCell ref="G135:Q135"/>
    <mergeCell ref="R135:T135"/>
    <mergeCell ref="U135:W135"/>
    <mergeCell ref="C136:D136"/>
    <mergeCell ref="G136:I136"/>
    <mergeCell ref="J136:L136"/>
    <mergeCell ref="M136:O136"/>
    <mergeCell ref="P136:Q136"/>
    <mergeCell ref="U136:W137"/>
    <mergeCell ref="V138:W138"/>
    <mergeCell ref="C141:F141"/>
    <mergeCell ref="G141:Q141"/>
    <mergeCell ref="R141:T141"/>
    <mergeCell ref="U141:W141"/>
    <mergeCell ref="C142:D142"/>
    <mergeCell ref="G142:I142"/>
    <mergeCell ref="J142:L142"/>
    <mergeCell ref="M142:O142"/>
    <mergeCell ref="P142:Q142"/>
    <mergeCell ref="S137:S138"/>
    <mergeCell ref="T137:T138"/>
    <mergeCell ref="D138:F138"/>
    <mergeCell ref="G138:I138"/>
    <mergeCell ref="J138:L138"/>
    <mergeCell ref="M138:O138"/>
    <mergeCell ref="P138:Q138"/>
    <mergeCell ref="U142:W143"/>
    <mergeCell ref="S143:S144"/>
    <mergeCell ref="T143:T144"/>
    <mergeCell ref="D144:F144"/>
    <mergeCell ref="G144:I144"/>
    <mergeCell ref="J144:L144"/>
    <mergeCell ref="M144:O144"/>
    <mergeCell ref="P144:Q144"/>
    <mergeCell ref="V144:W144"/>
    <mergeCell ref="C147:F147"/>
    <mergeCell ref="G147:Q147"/>
    <mergeCell ref="R147:T147"/>
    <mergeCell ref="U147:W147"/>
    <mergeCell ref="C148:D148"/>
    <mergeCell ref="G148:I148"/>
    <mergeCell ref="J148:L148"/>
    <mergeCell ref="M148:O148"/>
    <mergeCell ref="P148:Q148"/>
    <mergeCell ref="U148:W149"/>
    <mergeCell ref="V150:W150"/>
    <mergeCell ref="C153:F153"/>
    <mergeCell ref="G153:Q153"/>
    <mergeCell ref="R153:T153"/>
    <mergeCell ref="U153:W153"/>
    <mergeCell ref="C154:D154"/>
    <mergeCell ref="G154:I154"/>
    <mergeCell ref="J154:L154"/>
    <mergeCell ref="M154:O154"/>
    <mergeCell ref="P154:Q154"/>
    <mergeCell ref="S149:S150"/>
    <mergeCell ref="T149:T150"/>
    <mergeCell ref="D150:F150"/>
    <mergeCell ref="G150:I150"/>
    <mergeCell ref="J150:L150"/>
    <mergeCell ref="M150:O150"/>
    <mergeCell ref="P150:Q150"/>
    <mergeCell ref="U154:W155"/>
    <mergeCell ref="S155:S156"/>
    <mergeCell ref="T155:T156"/>
    <mergeCell ref="D156:F156"/>
    <mergeCell ref="G156:I156"/>
    <mergeCell ref="J156:L156"/>
    <mergeCell ref="M156:O156"/>
    <mergeCell ref="P156:Q156"/>
    <mergeCell ref="V156:W156"/>
    <mergeCell ref="V162:W162"/>
    <mergeCell ref="S161:S162"/>
    <mergeCell ref="T161:T162"/>
    <mergeCell ref="D162:F162"/>
    <mergeCell ref="G162:I162"/>
    <mergeCell ref="J162:L162"/>
    <mergeCell ref="M162:O162"/>
    <mergeCell ref="P162:Q162"/>
    <mergeCell ref="C159:F159"/>
    <mergeCell ref="G159:Q159"/>
    <mergeCell ref="R159:T159"/>
    <mergeCell ref="U159:W159"/>
    <mergeCell ref="C160:D160"/>
    <mergeCell ref="G160:I160"/>
    <mergeCell ref="J160:L160"/>
    <mergeCell ref="M160:O160"/>
    <mergeCell ref="P160:Q160"/>
    <mergeCell ref="U160:W161"/>
    <mergeCell ref="C171:F171"/>
    <mergeCell ref="G171:Q171"/>
    <mergeCell ref="R171:T171"/>
    <mergeCell ref="U171:W171"/>
    <mergeCell ref="C172:D172"/>
    <mergeCell ref="G172:I172"/>
    <mergeCell ref="J172:L172"/>
    <mergeCell ref="M172:O172"/>
    <mergeCell ref="P172:Q172"/>
    <mergeCell ref="U172:W173"/>
    <mergeCell ref="S173:S174"/>
    <mergeCell ref="T173:T174"/>
    <mergeCell ref="D174:F174"/>
    <mergeCell ref="G174:I174"/>
    <mergeCell ref="J174:L174"/>
    <mergeCell ref="M174:O174"/>
    <mergeCell ref="P174:Q174"/>
    <mergeCell ref="V174:W174"/>
  </mergeCells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137"/>
  <sheetViews>
    <sheetView topLeftCell="A115" zoomScale="85" zoomScaleNormal="85" workbookViewId="0">
      <selection activeCell="A140" sqref="A140"/>
    </sheetView>
  </sheetViews>
  <sheetFormatPr defaultRowHeight="16.5"/>
  <cols>
    <col min="1" max="1" width="16.125" bestFit="1" customWidth="1"/>
    <col min="2" max="2" width="11.875" customWidth="1"/>
    <col min="3" max="3" width="5.625" customWidth="1"/>
    <col min="4" max="4" width="8.875" customWidth="1"/>
    <col min="5" max="5" width="10.125" customWidth="1"/>
    <col min="6" max="6" width="10.5" customWidth="1"/>
    <col min="7" max="8" width="4.75" style="1" customWidth="1"/>
    <col min="9" max="9" width="9.375" bestFit="1" customWidth="1"/>
    <col min="10" max="10" width="4.875" style="59" customWidth="1"/>
    <col min="11" max="11" width="4.75" customWidth="1"/>
    <col min="12" max="12" width="9.375" bestFit="1" customWidth="1"/>
    <col min="13" max="14" width="4.625" customWidth="1"/>
    <col min="15" max="15" width="8.25" bestFit="1" customWidth="1"/>
    <col min="16" max="16" width="10.5" bestFit="1" customWidth="1"/>
    <col min="17" max="17" width="8.875" customWidth="1"/>
    <col min="18" max="18" width="12.75" customWidth="1"/>
    <col min="19" max="19" width="10.5" bestFit="1" customWidth="1"/>
    <col min="21" max="21" width="10.875" bestFit="1" customWidth="1"/>
    <col min="25" max="25" width="11.5" bestFit="1" customWidth="1"/>
  </cols>
  <sheetData>
    <row r="1" spans="1:25">
      <c r="A1" s="2" t="s">
        <v>16</v>
      </c>
      <c r="B1" s="3">
        <f>( (D3 * 209) + F3 ) / 209</f>
        <v>12473.110047846891</v>
      </c>
      <c r="C1" s="79" t="s">
        <v>3</v>
      </c>
      <c r="D1" s="79"/>
      <c r="E1" s="79"/>
      <c r="F1" s="79"/>
      <c r="G1" s="79" t="s">
        <v>14</v>
      </c>
      <c r="H1" s="79"/>
      <c r="I1" s="79"/>
      <c r="J1" s="79"/>
      <c r="K1" s="79"/>
      <c r="L1" s="79"/>
      <c r="M1" s="79"/>
      <c r="N1" s="79"/>
      <c r="O1" s="79"/>
      <c r="P1" s="79"/>
      <c r="Q1" s="79"/>
      <c r="R1" s="79" t="s">
        <v>15</v>
      </c>
      <c r="S1" s="79"/>
      <c r="T1" s="79"/>
      <c r="U1" s="79" t="s">
        <v>18</v>
      </c>
      <c r="V1" s="79"/>
      <c r="W1" s="79"/>
      <c r="X1" s="107"/>
      <c r="Y1" s="107"/>
    </row>
    <row r="2" spans="1:25">
      <c r="A2" s="8" t="s">
        <v>0</v>
      </c>
      <c r="B2" s="4" t="s">
        <v>87</v>
      </c>
      <c r="C2" s="79" t="s">
        <v>4</v>
      </c>
      <c r="D2" s="79"/>
      <c r="E2" s="10" t="s">
        <v>5</v>
      </c>
      <c r="F2" s="10" t="s">
        <v>6</v>
      </c>
      <c r="G2" s="79" t="s">
        <v>7</v>
      </c>
      <c r="H2" s="79"/>
      <c r="I2" s="79"/>
      <c r="J2" s="79" t="s">
        <v>8</v>
      </c>
      <c r="K2" s="79"/>
      <c r="L2" s="79"/>
      <c r="M2" s="79" t="s">
        <v>10</v>
      </c>
      <c r="N2" s="79"/>
      <c r="O2" s="79"/>
      <c r="P2" s="79" t="s">
        <v>11</v>
      </c>
      <c r="Q2" s="79"/>
      <c r="R2" s="10" t="s">
        <v>9</v>
      </c>
      <c r="S2" s="10" t="s">
        <v>12</v>
      </c>
      <c r="T2" s="10" t="s">
        <v>13</v>
      </c>
      <c r="U2" s="80">
        <f ca="1">ROUNDDOWN(SUM(D4, E3, G4, J4, M4, P4, R4, S3, T3), -1)</f>
        <v>4868510</v>
      </c>
      <c r="V2" s="80"/>
      <c r="W2" s="80"/>
      <c r="X2" s="107"/>
      <c r="Y2" s="107"/>
    </row>
    <row r="3" spans="1:25">
      <c r="A3" s="8" t="s">
        <v>1</v>
      </c>
      <c r="B3" s="17">
        <v>44986</v>
      </c>
      <c r="C3" s="10">
        <v>209</v>
      </c>
      <c r="D3" s="11">
        <v>10320</v>
      </c>
      <c r="E3" s="12">
        <v>200000</v>
      </c>
      <c r="F3" s="12">
        <v>450000</v>
      </c>
      <c r="G3" s="13">
        <v>7.5</v>
      </c>
      <c r="H3" s="13">
        <f>G3*365/84</f>
        <v>32.589285714285715</v>
      </c>
      <c r="I3" s="11">
        <f>B1 * 1.5</f>
        <v>18709.665071770338</v>
      </c>
      <c r="J3" s="58">
        <v>9.5</v>
      </c>
      <c r="K3" s="10">
        <f>J3*365/84</f>
        <v>41.279761904761905</v>
      </c>
      <c r="L3" s="11">
        <f>B1 * 1.5</f>
        <v>18709.665071770338</v>
      </c>
      <c r="M3" s="10"/>
      <c r="N3" s="10">
        <v>0</v>
      </c>
      <c r="O3" s="15">
        <f>B1*0.5</f>
        <v>6236.5550239234453</v>
      </c>
      <c r="P3" s="54">
        <f>B1 * 12</f>
        <v>149677.3205741627</v>
      </c>
      <c r="Q3" s="10">
        <f ca="1">IF(DATEDIF(B3, EOMONTH(NOW(), 0), "Y") &lt; 1, 11, MIN(25, 15 + INT((DATEDIF(B3, EOMONTH(NOW(), 0), "Y") - 1) / 2)))</f>
        <v>16</v>
      </c>
      <c r="R3" s="16"/>
      <c r="S3" s="81">
        <v>480000</v>
      </c>
      <c r="T3" s="83"/>
      <c r="U3" s="80"/>
      <c r="V3" s="80"/>
      <c r="W3" s="80"/>
      <c r="X3" s="107"/>
      <c r="Y3" s="107"/>
    </row>
    <row r="4" spans="1:25">
      <c r="A4" s="18">
        <f ca="1">U2/C4</f>
        <v>15223.438494611646</v>
      </c>
      <c r="B4" s="4" t="s">
        <v>86</v>
      </c>
      <c r="C4" s="10">
        <f>SUM(C3, H3*1.5, K3*1.5)</f>
        <v>319.80357142857144</v>
      </c>
      <c r="D4" s="80">
        <f>(D3 * 209) + F3</f>
        <v>2606880</v>
      </c>
      <c r="E4" s="79"/>
      <c r="F4" s="79"/>
      <c r="G4" s="80">
        <f>H3 * I3</f>
        <v>609734.62064251548</v>
      </c>
      <c r="H4" s="79"/>
      <c r="I4" s="79"/>
      <c r="J4" s="80">
        <f>K3 * L3</f>
        <v>772330.51948051958</v>
      </c>
      <c r="K4" s="79"/>
      <c r="L4" s="79"/>
      <c r="M4" s="85">
        <f>N3*O3</f>
        <v>0</v>
      </c>
      <c r="N4" s="79"/>
      <c r="O4" s="79"/>
      <c r="P4" s="80">
        <f ca="1">ROUND((P3 * Q3) / 12, -1)</f>
        <v>199570</v>
      </c>
      <c r="Q4" s="80"/>
      <c r="R4" s="15">
        <f>B1*0.5*R3</f>
        <v>0</v>
      </c>
      <c r="S4" s="82"/>
      <c r="T4" s="84"/>
      <c r="U4" s="10" t="s">
        <v>19</v>
      </c>
      <c r="V4" s="87">
        <f ca="1">D4+G4+L4+M4+P4</f>
        <v>3416184.6206425154</v>
      </c>
      <c r="W4" s="88"/>
      <c r="X4" s="107"/>
      <c r="Y4" s="107"/>
    </row>
    <row r="5" spans="1:25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</row>
    <row r="6" spans="1:25">
      <c r="A6" s="107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</row>
    <row r="7" spans="1:25">
      <c r="A7" s="2" t="s">
        <v>16</v>
      </c>
      <c r="B7" s="3">
        <f>( (D9 * 209) + F9 ) / 209</f>
        <v>10559.234449760766</v>
      </c>
      <c r="C7" s="79" t="s">
        <v>3</v>
      </c>
      <c r="D7" s="79"/>
      <c r="E7" s="79"/>
      <c r="F7" s="79"/>
      <c r="G7" s="79" t="s">
        <v>14</v>
      </c>
      <c r="H7" s="79"/>
      <c r="I7" s="79"/>
      <c r="J7" s="79"/>
      <c r="K7" s="79"/>
      <c r="L7" s="79"/>
      <c r="M7" s="79"/>
      <c r="N7" s="79"/>
      <c r="O7" s="79"/>
      <c r="P7" s="79"/>
      <c r="Q7" s="79"/>
      <c r="R7" s="79" t="s">
        <v>15</v>
      </c>
      <c r="S7" s="79"/>
      <c r="T7" s="79"/>
      <c r="U7" s="79" t="s">
        <v>18</v>
      </c>
      <c r="V7" s="79"/>
      <c r="W7" s="79"/>
      <c r="X7" s="107"/>
      <c r="Y7" s="107"/>
    </row>
    <row r="8" spans="1:25">
      <c r="A8" s="8" t="s">
        <v>0</v>
      </c>
      <c r="B8" s="4" t="s">
        <v>2</v>
      </c>
      <c r="C8" s="79" t="s">
        <v>4</v>
      </c>
      <c r="D8" s="79"/>
      <c r="E8" s="10" t="s">
        <v>5</v>
      </c>
      <c r="F8" s="10" t="s">
        <v>6</v>
      </c>
      <c r="G8" s="79" t="s">
        <v>7</v>
      </c>
      <c r="H8" s="79"/>
      <c r="I8" s="79"/>
      <c r="J8" s="79" t="s">
        <v>8</v>
      </c>
      <c r="K8" s="79"/>
      <c r="L8" s="79"/>
      <c r="M8" s="79" t="s">
        <v>10</v>
      </c>
      <c r="N8" s="79"/>
      <c r="O8" s="79"/>
      <c r="P8" s="79" t="s">
        <v>11</v>
      </c>
      <c r="Q8" s="79"/>
      <c r="R8" s="10" t="s">
        <v>9</v>
      </c>
      <c r="S8" s="10" t="s">
        <v>12</v>
      </c>
      <c r="T8" s="10" t="s">
        <v>13</v>
      </c>
      <c r="U8" s="80">
        <f ca="1">ROUNDDOWN(SUM(D10, E9, G10, J10, M10, P10, R10, S9, T9), -1)</f>
        <v>3622270</v>
      </c>
      <c r="V8" s="80"/>
      <c r="W8" s="80"/>
      <c r="X8" s="107"/>
      <c r="Y8" s="107"/>
    </row>
    <row r="9" spans="1:25">
      <c r="A9" s="8" t="s">
        <v>1</v>
      </c>
      <c r="B9" s="17">
        <v>45663</v>
      </c>
      <c r="C9" s="10">
        <v>209</v>
      </c>
      <c r="D9" s="11">
        <v>10320</v>
      </c>
      <c r="E9" s="12"/>
      <c r="F9" s="12">
        <v>50000</v>
      </c>
      <c r="G9" s="13">
        <v>7.5</v>
      </c>
      <c r="H9" s="13">
        <f>G9*365/84</f>
        <v>32.589285714285715</v>
      </c>
      <c r="I9" s="11">
        <f>B7 * 1.5</f>
        <v>15838.85167464115</v>
      </c>
      <c r="J9" s="58">
        <v>9.5</v>
      </c>
      <c r="K9" s="10">
        <f>J9*365/84</f>
        <v>41.279761904761905</v>
      </c>
      <c r="L9" s="11">
        <f>B7 * 1.5</f>
        <v>15838.85167464115</v>
      </c>
      <c r="M9" s="10"/>
      <c r="N9" s="10">
        <v>0</v>
      </c>
      <c r="O9" s="15">
        <f>B7*0.5</f>
        <v>5279.6172248803832</v>
      </c>
      <c r="P9" s="54">
        <f>B7 * 12</f>
        <v>126710.8133971292</v>
      </c>
      <c r="Q9" s="10">
        <f ca="1">IF(DATEDIF(B9, EOMONTH(NOW(), 0), "Y") &lt; 1, 11, MIN(25, 15 + INT((DATEDIF(B9, EOMONTH(NOW(), 0), "Y") - 1) / 2)))</f>
        <v>15</v>
      </c>
      <c r="R9" s="16"/>
      <c r="S9" s="83">
        <v>87000</v>
      </c>
      <c r="T9" s="83"/>
      <c r="U9" s="80"/>
      <c r="V9" s="80"/>
      <c r="W9" s="80"/>
      <c r="X9" s="107"/>
      <c r="Y9" s="107"/>
    </row>
    <row r="10" spans="1:25">
      <c r="A10" s="18">
        <f ca="1">U8/C10</f>
        <v>11326.54642916969</v>
      </c>
      <c r="B10" s="4" t="s">
        <v>17</v>
      </c>
      <c r="C10" s="10">
        <f>SUM(C9, H9*1.5, K9*1.5)</f>
        <v>319.80357142857144</v>
      </c>
      <c r="D10" s="80">
        <f>(D9 * 209)  + F9</f>
        <v>2206880</v>
      </c>
      <c r="E10" s="79"/>
      <c r="F10" s="79"/>
      <c r="G10" s="80">
        <f>H9 * I9</f>
        <v>516176.86261107319</v>
      </c>
      <c r="H10" s="79"/>
      <c r="I10" s="79"/>
      <c r="J10" s="80">
        <f>K9 * L9</f>
        <v>653824.02597402607</v>
      </c>
      <c r="K10" s="79"/>
      <c r="L10" s="79"/>
      <c r="M10" s="85">
        <f>N9*O9</f>
        <v>0</v>
      </c>
      <c r="N10" s="79"/>
      <c r="O10" s="79"/>
      <c r="P10" s="80">
        <f ca="1">ROUND((P9 * Q9) / 12, -1)</f>
        <v>158390</v>
      </c>
      <c r="Q10" s="80"/>
      <c r="R10" s="15">
        <f>B7*0.5*R9</f>
        <v>0</v>
      </c>
      <c r="S10" s="84"/>
      <c r="T10" s="84"/>
      <c r="U10" s="10" t="s">
        <v>19</v>
      </c>
      <c r="V10" s="87">
        <f>D10+F9+G10+L10+M10</f>
        <v>2773056.8626110731</v>
      </c>
      <c r="W10" s="88"/>
      <c r="X10" s="107"/>
      <c r="Y10" s="107"/>
    </row>
    <row r="11" spans="1:25">
      <c r="A11" s="107"/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</row>
    <row r="12" spans="1:25">
      <c r="A12" s="107"/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</row>
    <row r="13" spans="1:25">
      <c r="A13" s="2" t="s">
        <v>16</v>
      </c>
      <c r="B13" s="20">
        <f>( (D15 * 209) + F15 ) / 209</f>
        <v>10463.54066985646</v>
      </c>
      <c r="C13" s="79" t="s">
        <v>3</v>
      </c>
      <c r="D13" s="79"/>
      <c r="E13" s="79"/>
      <c r="F13" s="79"/>
      <c r="G13" s="79" t="s">
        <v>14</v>
      </c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 t="s">
        <v>15</v>
      </c>
      <c r="S13" s="79"/>
      <c r="T13" s="79"/>
      <c r="U13" s="79" t="s">
        <v>18</v>
      </c>
      <c r="V13" s="79"/>
      <c r="W13" s="79"/>
      <c r="X13" s="107"/>
      <c r="Y13" s="107"/>
    </row>
    <row r="14" spans="1:25">
      <c r="A14" s="9" t="s">
        <v>20</v>
      </c>
      <c r="B14" s="2" t="s">
        <v>24</v>
      </c>
      <c r="C14" s="79" t="s">
        <v>4</v>
      </c>
      <c r="D14" s="79"/>
      <c r="E14" s="10" t="s">
        <v>5</v>
      </c>
      <c r="F14" s="10" t="s">
        <v>6</v>
      </c>
      <c r="G14" s="79" t="s">
        <v>7</v>
      </c>
      <c r="H14" s="79"/>
      <c r="I14" s="79"/>
      <c r="J14" s="79" t="s">
        <v>8</v>
      </c>
      <c r="K14" s="79"/>
      <c r="L14" s="79"/>
      <c r="M14" s="79" t="s">
        <v>10</v>
      </c>
      <c r="N14" s="79"/>
      <c r="O14" s="79"/>
      <c r="P14" s="79" t="s">
        <v>11</v>
      </c>
      <c r="Q14" s="79"/>
      <c r="R14" s="10" t="s">
        <v>9</v>
      </c>
      <c r="S14" s="10" t="s">
        <v>12</v>
      </c>
      <c r="T14" s="10" t="s">
        <v>13</v>
      </c>
      <c r="U14" s="80">
        <f ca="1">ROUNDDOWN(SUM(D16, E15, G16, J16, M16, P16, R16, S15, T15), -1)</f>
        <v>3250000</v>
      </c>
      <c r="V14" s="80"/>
      <c r="W14" s="80"/>
      <c r="X14" s="107"/>
      <c r="Y14" s="107"/>
    </row>
    <row r="15" spans="1:25">
      <c r="A15" s="9" t="s">
        <v>21</v>
      </c>
      <c r="B15" s="19">
        <v>45663</v>
      </c>
      <c r="C15" s="10">
        <v>209</v>
      </c>
      <c r="D15" s="11">
        <v>10320</v>
      </c>
      <c r="E15" s="21"/>
      <c r="F15" s="21">
        <v>30000</v>
      </c>
      <c r="G15" s="13">
        <v>7.5</v>
      </c>
      <c r="H15" s="13">
        <f>G15*365/84</f>
        <v>32.589285714285715</v>
      </c>
      <c r="I15" s="11">
        <f>B13 * 1.5</f>
        <v>15695.311004784689</v>
      </c>
      <c r="J15" s="58">
        <v>4.75</v>
      </c>
      <c r="K15" s="10">
        <f>J15*365/84</f>
        <v>20.639880952380953</v>
      </c>
      <c r="L15" s="11">
        <f>B13 * 1.5</f>
        <v>15695.311004784689</v>
      </c>
      <c r="M15" s="10"/>
      <c r="N15" s="10">
        <v>0</v>
      </c>
      <c r="O15" s="15">
        <f>B13*0.5</f>
        <v>5231.7703349282301</v>
      </c>
      <c r="P15" s="54">
        <f>B13 * 12</f>
        <v>125562.48803827752</v>
      </c>
      <c r="Q15" s="10">
        <f ca="1">IF(DATEDIF(B15, EOMONTH(NOW(), 0), "Y") &lt; 1, 11, MIN(25, 15 + INT((DATEDIF(B15, EOMONTH(NOW(), 0), "Y") - 1) / 2)))</f>
        <v>15</v>
      </c>
      <c r="R15" s="22"/>
      <c r="S15" s="89">
        <v>70722</v>
      </c>
      <c r="T15" s="91"/>
      <c r="U15" s="80"/>
      <c r="V15" s="80"/>
      <c r="W15" s="80"/>
      <c r="X15" s="107"/>
      <c r="Y15" s="107"/>
    </row>
    <row r="16" spans="1:25">
      <c r="A16" s="18">
        <f ca="1">U14/C16</f>
        <v>11251.758087201126</v>
      </c>
      <c r="B16" s="2" t="s">
        <v>25</v>
      </c>
      <c r="C16" s="10">
        <f>SUM(C15, H15*1.5, K15*1.5)</f>
        <v>288.84375</v>
      </c>
      <c r="D16" s="80">
        <f>(D15 * 209)  + F15</f>
        <v>2186880</v>
      </c>
      <c r="E16" s="79"/>
      <c r="F16" s="79"/>
      <c r="G16" s="80">
        <f>H15 * I15</f>
        <v>511498.97470950108</v>
      </c>
      <c r="H16" s="79"/>
      <c r="I16" s="79"/>
      <c r="J16" s="80">
        <f>K15 * L15</f>
        <v>323949.35064935067</v>
      </c>
      <c r="K16" s="79"/>
      <c r="L16" s="79"/>
      <c r="M16" s="85">
        <f>N15*O15</f>
        <v>0</v>
      </c>
      <c r="N16" s="79"/>
      <c r="O16" s="79"/>
      <c r="P16" s="80">
        <f ca="1">ROUND((P15 * Q15) / 12, -1)</f>
        <v>156950</v>
      </c>
      <c r="Q16" s="80"/>
      <c r="R16" s="15">
        <f>B13*0.5*R15</f>
        <v>0</v>
      </c>
      <c r="S16" s="90"/>
      <c r="T16" s="92"/>
      <c r="U16" s="10" t="s">
        <v>19</v>
      </c>
      <c r="V16" s="87">
        <f>D16+F15+G16+L16+M16</f>
        <v>2728378.974709501</v>
      </c>
      <c r="W16" s="88"/>
      <c r="X16" s="107"/>
      <c r="Y16" s="107"/>
    </row>
    <row r="17" spans="1:25">
      <c r="A17" s="107"/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</row>
    <row r="18" spans="1:25">
      <c r="A18" s="107"/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</row>
    <row r="19" spans="1:25">
      <c r="A19" s="2" t="s">
        <v>16</v>
      </c>
      <c r="B19" s="3">
        <f>( (D21 * 209) + F21 ) / 209</f>
        <v>11085.55023923445</v>
      </c>
      <c r="C19" s="79" t="s">
        <v>3</v>
      </c>
      <c r="D19" s="79"/>
      <c r="E19" s="79"/>
      <c r="F19" s="79"/>
      <c r="G19" s="79" t="s">
        <v>14</v>
      </c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 t="s">
        <v>15</v>
      </c>
      <c r="S19" s="79"/>
      <c r="T19" s="79"/>
      <c r="U19" s="79" t="s">
        <v>18</v>
      </c>
      <c r="V19" s="79"/>
      <c r="W19" s="79"/>
      <c r="X19" s="107"/>
      <c r="Y19" s="107"/>
    </row>
    <row r="20" spans="1:25">
      <c r="A20" s="7" t="s">
        <v>22</v>
      </c>
      <c r="B20" s="2" t="s">
        <v>84</v>
      </c>
      <c r="C20" s="79" t="s">
        <v>4</v>
      </c>
      <c r="D20" s="79"/>
      <c r="E20" s="10" t="s">
        <v>5</v>
      </c>
      <c r="F20" s="10" t="s">
        <v>6</v>
      </c>
      <c r="G20" s="79" t="s">
        <v>7</v>
      </c>
      <c r="H20" s="79"/>
      <c r="I20" s="79"/>
      <c r="J20" s="79" t="s">
        <v>8</v>
      </c>
      <c r="K20" s="79"/>
      <c r="L20" s="79"/>
      <c r="M20" s="79" t="s">
        <v>10</v>
      </c>
      <c r="N20" s="79"/>
      <c r="O20" s="79"/>
      <c r="P20" s="79" t="s">
        <v>11</v>
      </c>
      <c r="Q20" s="79"/>
      <c r="R20" s="10" t="s">
        <v>9</v>
      </c>
      <c r="S20" s="10" t="s">
        <v>12</v>
      </c>
      <c r="T20" s="10" t="s">
        <v>13</v>
      </c>
      <c r="U20" s="80">
        <f ca="1">ROUNDDOWN(SUM(D22, E21, G22, J22, M22, P22, R22, S21, T21), -1)</f>
        <v>3264080</v>
      </c>
      <c r="V20" s="80"/>
      <c r="W20" s="80"/>
      <c r="X20" s="107"/>
      <c r="Y20" s="107"/>
    </row>
    <row r="21" spans="1:25">
      <c r="A21" s="7" t="s">
        <v>23</v>
      </c>
      <c r="B21" s="19">
        <v>44418</v>
      </c>
      <c r="C21" s="10">
        <v>209</v>
      </c>
      <c r="D21" s="11">
        <v>10320</v>
      </c>
      <c r="E21" s="12"/>
      <c r="F21" s="12">
        <v>160000</v>
      </c>
      <c r="G21" s="13">
        <v>7.5</v>
      </c>
      <c r="H21" s="13">
        <f>G21*365/84</f>
        <v>32.589285714285715</v>
      </c>
      <c r="I21" s="11">
        <f>B19 * 1.5</f>
        <v>16628.325358851675</v>
      </c>
      <c r="J21" s="58"/>
      <c r="K21" s="10">
        <f>J21*365/84</f>
        <v>0</v>
      </c>
      <c r="L21" s="11">
        <f>B19 * 1.5</f>
        <v>16628.325358851675</v>
      </c>
      <c r="M21" s="10"/>
      <c r="N21" s="10">
        <v>0</v>
      </c>
      <c r="O21" s="15">
        <f>B19*0.5</f>
        <v>5542.7751196172248</v>
      </c>
      <c r="P21" s="54">
        <f>B19 * 12</f>
        <v>133026.6028708134</v>
      </c>
      <c r="Q21" s="10">
        <f ca="1">IF(DATEDIF(B21, EOMONTH(NOW(), 0), "Y") &lt; 1, 11, MIN(25, 15 + INT((DATEDIF(B21, EOMONTH(NOW(), 0), "Y") - 1) / 2)))</f>
        <v>17</v>
      </c>
      <c r="R21" s="16"/>
      <c r="S21" s="81">
        <v>216850</v>
      </c>
      <c r="T21" s="83"/>
      <c r="U21" s="80"/>
      <c r="V21" s="80"/>
      <c r="W21" s="80"/>
      <c r="X21" s="107"/>
      <c r="Y21" s="107"/>
    </row>
    <row r="22" spans="1:25">
      <c r="A22" s="5">
        <f ca="1">U20/C22</f>
        <v>12657.167191773709</v>
      </c>
      <c r="B22" s="2" t="s">
        <v>85</v>
      </c>
      <c r="C22" s="10">
        <f>SUM(C21, H21*1.5, K21*1.5)</f>
        <v>257.88392857142856</v>
      </c>
      <c r="D22" s="80">
        <f>(D21 * 209)  + F21</f>
        <v>2316880</v>
      </c>
      <c r="E22" s="79"/>
      <c r="F22" s="79"/>
      <c r="G22" s="80">
        <f>H21 * I21</f>
        <v>541905.24606971978</v>
      </c>
      <c r="H22" s="79"/>
      <c r="I22" s="79"/>
      <c r="J22" s="80">
        <f>K21 * L21</f>
        <v>0</v>
      </c>
      <c r="K22" s="79"/>
      <c r="L22" s="79"/>
      <c r="M22" s="85">
        <f>N21*O21</f>
        <v>0</v>
      </c>
      <c r="N22" s="79"/>
      <c r="O22" s="79"/>
      <c r="P22" s="80">
        <f ca="1">ROUND((P21 * Q21) / 12, -1)</f>
        <v>188450</v>
      </c>
      <c r="Q22" s="80"/>
      <c r="R22" s="15">
        <f>B19*0.5*R21</f>
        <v>0</v>
      </c>
      <c r="S22" s="82"/>
      <c r="T22" s="84"/>
      <c r="U22" s="10" t="s">
        <v>19</v>
      </c>
      <c r="V22" s="87">
        <f>D22+F21+G22+L22+M22</f>
        <v>3018785.24606972</v>
      </c>
      <c r="W22" s="88"/>
      <c r="X22" s="107"/>
      <c r="Y22" s="107"/>
    </row>
    <row r="25" spans="1:25">
      <c r="A25" s="2" t="s">
        <v>16</v>
      </c>
      <c r="B25" s="3">
        <f>( (D27 * 209) + F27 ) / 209</f>
        <v>10320</v>
      </c>
      <c r="C25" s="79" t="s">
        <v>3</v>
      </c>
      <c r="D25" s="79"/>
      <c r="E25" s="79"/>
      <c r="F25" s="79"/>
      <c r="G25" s="79" t="s">
        <v>14</v>
      </c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 t="s">
        <v>15</v>
      </c>
      <c r="S25" s="79"/>
      <c r="T25" s="79"/>
      <c r="U25" s="79" t="s">
        <v>18</v>
      </c>
      <c r="V25" s="79"/>
      <c r="W25" s="79"/>
    </row>
    <row r="26" spans="1:25">
      <c r="A26" s="8" t="s">
        <v>0</v>
      </c>
      <c r="B26" s="4" t="s">
        <v>2</v>
      </c>
      <c r="C26" s="79" t="s">
        <v>4</v>
      </c>
      <c r="D26" s="79"/>
      <c r="E26" s="10" t="s">
        <v>5</v>
      </c>
      <c r="F26" s="10" t="s">
        <v>6</v>
      </c>
      <c r="G26" s="79" t="s">
        <v>7</v>
      </c>
      <c r="H26" s="79"/>
      <c r="I26" s="79"/>
      <c r="J26" s="79" t="s">
        <v>8</v>
      </c>
      <c r="K26" s="79"/>
      <c r="L26" s="79"/>
      <c r="M26" s="79" t="s">
        <v>10</v>
      </c>
      <c r="N26" s="79"/>
      <c r="O26" s="79"/>
      <c r="P26" s="79" t="s">
        <v>11</v>
      </c>
      <c r="Q26" s="79"/>
      <c r="R26" s="10" t="s">
        <v>9</v>
      </c>
      <c r="S26" s="10" t="s">
        <v>12</v>
      </c>
      <c r="T26" s="10" t="s">
        <v>13</v>
      </c>
      <c r="U26" s="80">
        <f ca="1">ROUNDDOWN(SUM(D28, E27, G28, J28, M28, P28, R28, S27, T27), -1)</f>
        <v>3413890</v>
      </c>
      <c r="V26" s="80"/>
      <c r="W26" s="80"/>
    </row>
    <row r="27" spans="1:25">
      <c r="A27" s="8" t="s">
        <v>1</v>
      </c>
      <c r="B27" s="17">
        <v>46132</v>
      </c>
      <c r="C27" s="10">
        <v>209</v>
      </c>
      <c r="D27" s="11">
        <v>10320</v>
      </c>
      <c r="E27" s="12"/>
      <c r="F27" s="12"/>
      <c r="G27" s="13">
        <v>7.5</v>
      </c>
      <c r="H27" s="13">
        <f>G27*365/84</f>
        <v>32.589285714285715</v>
      </c>
      <c r="I27" s="11">
        <f>B25 * 1.5</f>
        <v>15480</v>
      </c>
      <c r="J27" s="58">
        <v>9.5</v>
      </c>
      <c r="K27" s="10">
        <f>J27*365/84</f>
        <v>41.279761904761905</v>
      </c>
      <c r="L27" s="11">
        <f>B25 * 1.5</f>
        <v>15480</v>
      </c>
      <c r="M27" s="10"/>
      <c r="N27" s="10">
        <v>0</v>
      </c>
      <c r="O27" s="15">
        <f>B25*0.5</f>
        <v>5160</v>
      </c>
      <c r="P27" s="54">
        <f>B25 * 12</f>
        <v>123840</v>
      </c>
      <c r="Q27" s="10">
        <f ca="1">IF(DATEDIF(B27, EOMONTH(NOW(), 0), "Y") &lt; 1, 11, MIN(25, 15 + INT((DATEDIF(B27, EOMONTH(NOW(), 0), "Y") - 1) / 2)))</f>
        <v>11</v>
      </c>
      <c r="R27" s="16"/>
      <c r="S27" s="83"/>
      <c r="T27" s="83"/>
      <c r="U27" s="80"/>
      <c r="V27" s="80"/>
      <c r="W27" s="80"/>
    </row>
    <row r="28" spans="1:25">
      <c r="A28" s="18">
        <f ca="1">U26/C28</f>
        <v>10674.958959182533</v>
      </c>
      <c r="B28" s="4" t="s">
        <v>17</v>
      </c>
      <c r="C28" s="10">
        <f>SUM(C27, H27*1.5, K27*1.5)</f>
        <v>319.80357142857144</v>
      </c>
      <c r="D28" s="80">
        <f>(D27 * 209) + E27 + F27</f>
        <v>2156880</v>
      </c>
      <c r="E28" s="79"/>
      <c r="F28" s="79"/>
      <c r="G28" s="80">
        <f>H27 * I27</f>
        <v>504482.1428571429</v>
      </c>
      <c r="H28" s="79"/>
      <c r="I28" s="79"/>
      <c r="J28" s="80">
        <f>K27 * L27</f>
        <v>639010.71428571432</v>
      </c>
      <c r="K28" s="79"/>
      <c r="L28" s="79"/>
      <c r="M28" s="85">
        <f>N27*O27</f>
        <v>0</v>
      </c>
      <c r="N28" s="79"/>
      <c r="O28" s="79"/>
      <c r="P28" s="80">
        <f ca="1">ROUND((P27 * Q27) / 12, -1)</f>
        <v>113520</v>
      </c>
      <c r="Q28" s="80"/>
      <c r="R28" s="15">
        <f>B25*0.5*R27</f>
        <v>0</v>
      </c>
      <c r="S28" s="84"/>
      <c r="T28" s="84"/>
      <c r="U28" s="10" t="s">
        <v>19</v>
      </c>
      <c r="V28" s="87">
        <f>D28+F27+G28+L28+M28</f>
        <v>2661362.1428571427</v>
      </c>
      <c r="W28" s="88"/>
    </row>
    <row r="31" spans="1:25">
      <c r="A31" s="2" t="s">
        <v>88</v>
      </c>
      <c r="B31" s="3">
        <f>( (D33 * 209) + F33 ) / 209</f>
        <v>10320</v>
      </c>
      <c r="C31" s="79" t="s">
        <v>3</v>
      </c>
      <c r="D31" s="79"/>
      <c r="E31" s="79"/>
      <c r="F31" s="79"/>
      <c r="G31" s="79" t="s">
        <v>14</v>
      </c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 t="s">
        <v>15</v>
      </c>
      <c r="S31" s="79"/>
      <c r="T31" s="79"/>
      <c r="U31" s="79" t="s">
        <v>18</v>
      </c>
      <c r="V31" s="79"/>
      <c r="W31" s="79"/>
    </row>
    <row r="32" spans="1:25">
      <c r="A32" s="55" t="s">
        <v>89</v>
      </c>
      <c r="B32" s="4" t="s">
        <v>2</v>
      </c>
      <c r="C32" s="79" t="s">
        <v>4</v>
      </c>
      <c r="D32" s="79"/>
      <c r="E32" s="10" t="s">
        <v>5</v>
      </c>
      <c r="F32" s="10" t="s">
        <v>6</v>
      </c>
      <c r="G32" s="79" t="s">
        <v>7</v>
      </c>
      <c r="H32" s="79"/>
      <c r="I32" s="79"/>
      <c r="J32" s="79" t="s">
        <v>8</v>
      </c>
      <c r="K32" s="79"/>
      <c r="L32" s="79"/>
      <c r="M32" s="79" t="s">
        <v>10</v>
      </c>
      <c r="N32" s="79"/>
      <c r="O32" s="79"/>
      <c r="P32" s="79" t="s">
        <v>11</v>
      </c>
      <c r="Q32" s="79"/>
      <c r="R32" s="10" t="s">
        <v>9</v>
      </c>
      <c r="S32" s="10" t="s">
        <v>12</v>
      </c>
      <c r="T32" s="10" t="s">
        <v>13</v>
      </c>
      <c r="U32" s="80">
        <f ca="1">ROUNDDOWN(SUM(D34, E33, G34, J34, M34, P34, R34, S33, T33), -1)</f>
        <v>3413890</v>
      </c>
      <c r="V32" s="80"/>
      <c r="W32" s="80"/>
    </row>
    <row r="33" spans="1:23">
      <c r="A33" s="56" t="s">
        <v>1</v>
      </c>
      <c r="B33" s="17">
        <v>46122</v>
      </c>
      <c r="C33" s="10">
        <v>209</v>
      </c>
      <c r="D33" s="11">
        <v>10320</v>
      </c>
      <c r="E33" s="12"/>
      <c r="F33" s="12"/>
      <c r="G33" s="13">
        <v>5</v>
      </c>
      <c r="H33" s="13">
        <f>G33*365/84</f>
        <v>21.726190476190474</v>
      </c>
      <c r="I33" s="11">
        <f>B31 * 1.5</f>
        <v>15480</v>
      </c>
      <c r="J33" s="58">
        <v>9</v>
      </c>
      <c r="K33" s="10">
        <f>J33*365/84</f>
        <v>39.107142857142854</v>
      </c>
      <c r="L33" s="11">
        <f>B31 * 1.5</f>
        <v>15480</v>
      </c>
      <c r="M33" s="10">
        <v>9</v>
      </c>
      <c r="N33" s="10">
        <f>M33*365/84</f>
        <v>39.107142857142854</v>
      </c>
      <c r="O33" s="15">
        <f>B31*0.5</f>
        <v>5160</v>
      </c>
      <c r="P33" s="54">
        <f>B31 * 12</f>
        <v>123840</v>
      </c>
      <c r="Q33" s="10">
        <f ca="1">IF(DATEDIF(B33, EOMONTH(NOW(), 0), "Y") &lt; 1, 11, MIN(25, 15 + INT((DATEDIF(B33, EOMONTH(NOW(), 0), "Y") - 1) / 2)))</f>
        <v>11</v>
      </c>
      <c r="R33" s="16"/>
      <c r="S33" s="81"/>
      <c r="T33" s="83"/>
      <c r="U33" s="80"/>
      <c r="V33" s="80"/>
      <c r="W33" s="80"/>
    </row>
    <row r="34" spans="1:23">
      <c r="A34" s="18">
        <f ca="1">U32/C34</f>
        <v>11370.158201498751</v>
      </c>
      <c r="B34" s="4" t="s">
        <v>17</v>
      </c>
      <c r="C34" s="10">
        <f>SUM(C33, H33*1.5, K33*1.5)</f>
        <v>300.25</v>
      </c>
      <c r="D34" s="80">
        <f>(D33 * 209) + E33 + F33</f>
        <v>2156880</v>
      </c>
      <c r="E34" s="79"/>
      <c r="F34" s="79"/>
      <c r="G34" s="80">
        <f>H33 * I33</f>
        <v>336321.42857142852</v>
      </c>
      <c r="H34" s="79"/>
      <c r="I34" s="79"/>
      <c r="J34" s="80">
        <f>K33 * L33</f>
        <v>605378.57142857136</v>
      </c>
      <c r="K34" s="79"/>
      <c r="L34" s="79"/>
      <c r="M34" s="85">
        <f>N33*O33</f>
        <v>201792.85714285713</v>
      </c>
      <c r="N34" s="79"/>
      <c r="O34" s="79"/>
      <c r="P34" s="80">
        <f ca="1">ROUND((P33 * Q33) / 12, -1)</f>
        <v>113520</v>
      </c>
      <c r="Q34" s="80"/>
      <c r="R34" s="15">
        <f>B31*0.5*R33</f>
        <v>0</v>
      </c>
      <c r="S34" s="82"/>
      <c r="T34" s="84"/>
      <c r="U34" s="10" t="s">
        <v>19</v>
      </c>
      <c r="V34" s="87">
        <f>D34+F33+G34+L34+M34</f>
        <v>2694994.2857142859</v>
      </c>
      <c r="W34" s="88"/>
    </row>
    <row r="37" spans="1:23">
      <c r="A37" s="2" t="s">
        <v>16</v>
      </c>
      <c r="B37" s="3">
        <f>( (D39 * 209) + F39 ) / 209</f>
        <v>12473.110047846891</v>
      </c>
      <c r="C37" s="79" t="s">
        <v>3</v>
      </c>
      <c r="D37" s="79"/>
      <c r="E37" s="79"/>
      <c r="F37" s="79"/>
      <c r="G37" s="79" t="s">
        <v>14</v>
      </c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 t="s">
        <v>15</v>
      </c>
      <c r="S37" s="79"/>
      <c r="T37" s="79"/>
      <c r="U37" s="79" t="s">
        <v>18</v>
      </c>
      <c r="V37" s="79"/>
      <c r="W37" s="79"/>
    </row>
    <row r="38" spans="1:23">
      <c r="A38" s="8" t="s">
        <v>0</v>
      </c>
      <c r="B38" s="4" t="s">
        <v>90</v>
      </c>
      <c r="C38" s="79" t="s">
        <v>4</v>
      </c>
      <c r="D38" s="79"/>
      <c r="E38" s="10" t="s">
        <v>5</v>
      </c>
      <c r="F38" s="10" t="s">
        <v>6</v>
      </c>
      <c r="G38" s="79" t="s">
        <v>7</v>
      </c>
      <c r="H38" s="79"/>
      <c r="I38" s="79"/>
      <c r="J38" s="79" t="s">
        <v>8</v>
      </c>
      <c r="K38" s="79"/>
      <c r="L38" s="79"/>
      <c r="M38" s="79" t="s">
        <v>10</v>
      </c>
      <c r="N38" s="79"/>
      <c r="O38" s="79"/>
      <c r="P38" s="79" t="s">
        <v>11</v>
      </c>
      <c r="Q38" s="79"/>
      <c r="R38" s="10" t="s">
        <v>9</v>
      </c>
      <c r="S38" s="10" t="s">
        <v>12</v>
      </c>
      <c r="T38" s="10" t="s">
        <v>13</v>
      </c>
      <c r="U38" s="80">
        <f ca="1">ROUNDDOWN(SUM(D40, E39, G40, J40, M40, P40, R40, S39, T39), -1)</f>
        <v>4600000</v>
      </c>
      <c r="V38" s="80"/>
      <c r="W38" s="80"/>
    </row>
    <row r="39" spans="1:23">
      <c r="A39" s="8" t="s">
        <v>1</v>
      </c>
      <c r="B39" s="17">
        <v>44986</v>
      </c>
      <c r="C39" s="10">
        <v>209</v>
      </c>
      <c r="D39" s="11">
        <v>10320</v>
      </c>
      <c r="E39" s="12">
        <v>200000</v>
      </c>
      <c r="F39" s="12">
        <v>450000</v>
      </c>
      <c r="G39" s="13">
        <v>7.5</v>
      </c>
      <c r="H39" s="13">
        <f>G39*365/84</f>
        <v>32.589285714285715</v>
      </c>
      <c r="I39" s="11">
        <f>B37 * 1.5</f>
        <v>18709.665071770338</v>
      </c>
      <c r="J39" s="58">
        <v>9.5</v>
      </c>
      <c r="K39" s="10">
        <f>J39*365/84</f>
        <v>41.279761904761905</v>
      </c>
      <c r="L39" s="11">
        <f>B37 * 1.5</f>
        <v>18709.665071770338</v>
      </c>
      <c r="M39" s="10"/>
      <c r="N39" s="10">
        <v>0</v>
      </c>
      <c r="O39" s="15">
        <f>B37*0.5</f>
        <v>6236.5550239234453</v>
      </c>
      <c r="P39" s="54">
        <f>B37*12</f>
        <v>149677.3205741627</v>
      </c>
      <c r="Q39" s="10">
        <f ca="1">IF(DATEDIF(B39, EOMONTH(NOW(), 0), "Y") &lt; 1, 11, MIN(25, 15 + INT((DATEDIF(B39, EOMONTH(NOW(), 0), "Y") - 1) / 2)))</f>
        <v>16</v>
      </c>
      <c r="R39" s="16"/>
      <c r="S39" s="81">
        <v>211490</v>
      </c>
      <c r="T39" s="83"/>
      <c r="U39" s="80"/>
      <c r="V39" s="80"/>
      <c r="W39" s="80"/>
    </row>
    <row r="40" spans="1:23">
      <c r="A40" s="18">
        <f ca="1">U38/C40</f>
        <v>14383.829359539895</v>
      </c>
      <c r="B40" s="4" t="s">
        <v>91</v>
      </c>
      <c r="C40" s="10">
        <f>SUM(C39, H39*1.5, K39*1.5)</f>
        <v>319.80357142857144</v>
      </c>
      <c r="D40" s="80">
        <f>(D39 * 209) + F39</f>
        <v>2606880</v>
      </c>
      <c r="E40" s="79"/>
      <c r="F40" s="79"/>
      <c r="G40" s="80">
        <f>H39 * I39</f>
        <v>609734.62064251548</v>
      </c>
      <c r="H40" s="79"/>
      <c r="I40" s="79"/>
      <c r="J40" s="80">
        <f>K39 * L39</f>
        <v>772330.51948051958</v>
      </c>
      <c r="K40" s="79"/>
      <c r="L40" s="79"/>
      <c r="M40" s="85">
        <f>N39*O39</f>
        <v>0</v>
      </c>
      <c r="N40" s="79"/>
      <c r="O40" s="79"/>
      <c r="P40" s="80">
        <f ca="1">ROUND((P39 * Q39) / 12, -1)</f>
        <v>199570</v>
      </c>
      <c r="Q40" s="80"/>
      <c r="R40" s="15">
        <f>B37*0.5*R39</f>
        <v>0</v>
      </c>
      <c r="S40" s="82"/>
      <c r="T40" s="84"/>
      <c r="U40" s="10" t="s">
        <v>19</v>
      </c>
      <c r="V40" s="87">
        <f ca="1">D40+G40+L40+M40+P40</f>
        <v>3416184.6206425154</v>
      </c>
      <c r="W40" s="88"/>
    </row>
    <row r="43" spans="1:23">
      <c r="A43" s="2" t="s">
        <v>88</v>
      </c>
      <c r="B43" s="3">
        <f>( (D45 * 209) + F45 ) / 209</f>
        <v>10320</v>
      </c>
      <c r="C43" s="79" t="s">
        <v>3</v>
      </c>
      <c r="D43" s="79"/>
      <c r="E43" s="79"/>
      <c r="F43" s="79"/>
      <c r="G43" s="79" t="s">
        <v>14</v>
      </c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 t="s">
        <v>15</v>
      </c>
      <c r="S43" s="79"/>
      <c r="T43" s="79"/>
      <c r="U43" s="79" t="s">
        <v>18</v>
      </c>
      <c r="V43" s="79"/>
      <c r="W43" s="79"/>
    </row>
    <row r="44" spans="1:23">
      <c r="A44" s="55" t="s">
        <v>89</v>
      </c>
      <c r="B44" s="4" t="s">
        <v>2</v>
      </c>
      <c r="C44" s="79" t="s">
        <v>4</v>
      </c>
      <c r="D44" s="79"/>
      <c r="E44" s="10" t="s">
        <v>5</v>
      </c>
      <c r="F44" s="10" t="s">
        <v>6</v>
      </c>
      <c r="G44" s="79" t="s">
        <v>7</v>
      </c>
      <c r="H44" s="79"/>
      <c r="I44" s="79"/>
      <c r="J44" s="79" t="s">
        <v>8</v>
      </c>
      <c r="K44" s="79"/>
      <c r="L44" s="79"/>
      <c r="M44" s="79" t="s">
        <v>10</v>
      </c>
      <c r="N44" s="79"/>
      <c r="O44" s="79"/>
      <c r="P44" s="79" t="s">
        <v>11</v>
      </c>
      <c r="Q44" s="79"/>
      <c r="R44" s="10" t="s">
        <v>9</v>
      </c>
      <c r="S44" s="10" t="s">
        <v>12</v>
      </c>
      <c r="T44" s="10" t="s">
        <v>13</v>
      </c>
      <c r="U44" s="80">
        <f ca="1">ROUNDDOWN(SUM(D46, E45, G46, J46, M46, P46, R46, S45, T45), -1)</f>
        <v>3413890</v>
      </c>
      <c r="V44" s="80"/>
      <c r="W44" s="80"/>
    </row>
    <row r="45" spans="1:23">
      <c r="A45" s="56" t="s">
        <v>1</v>
      </c>
      <c r="B45" s="17">
        <v>46122</v>
      </c>
      <c r="C45" s="10">
        <v>209</v>
      </c>
      <c r="D45" s="11">
        <v>10320</v>
      </c>
      <c r="E45" s="12"/>
      <c r="F45" s="12"/>
      <c r="G45" s="13">
        <v>5</v>
      </c>
      <c r="H45" s="13">
        <f>G45*365/84</f>
        <v>21.726190476190474</v>
      </c>
      <c r="I45" s="11">
        <f>B43 * 1.5</f>
        <v>15480</v>
      </c>
      <c r="J45" s="58">
        <v>9</v>
      </c>
      <c r="K45" s="10">
        <f>J45*365/84</f>
        <v>39.107142857142854</v>
      </c>
      <c r="L45" s="11">
        <f>B43 * 1.5</f>
        <v>15480</v>
      </c>
      <c r="M45" s="10">
        <v>9</v>
      </c>
      <c r="N45" s="10">
        <f>M45*365/84</f>
        <v>39.107142857142854</v>
      </c>
      <c r="O45" s="15">
        <f>B43*0.5</f>
        <v>5160</v>
      </c>
      <c r="P45" s="54">
        <f>B43 * 12</f>
        <v>123840</v>
      </c>
      <c r="Q45" s="10">
        <f ca="1">IF(DATEDIF(B45, EOMONTH(NOW(), 0), "Y") &lt; 1, 11, MIN(25, 15 + INT((DATEDIF(B45, EOMONTH(NOW(), 0), "Y") - 1) / 2)))</f>
        <v>11</v>
      </c>
      <c r="R45" s="16"/>
      <c r="S45" s="81"/>
      <c r="T45" s="83"/>
      <c r="U45" s="80"/>
      <c r="V45" s="80"/>
      <c r="W45" s="80"/>
    </row>
    <row r="46" spans="1:23">
      <c r="A46" s="18">
        <f ca="1">U44/C46</f>
        <v>11370.158201498751</v>
      </c>
      <c r="B46" s="4" t="s">
        <v>17</v>
      </c>
      <c r="C46" s="10">
        <f>SUM(C45, H45*1.5, K45*1.5)</f>
        <v>300.25</v>
      </c>
      <c r="D46" s="80">
        <f>(D45 * 209) + F45</f>
        <v>2156880</v>
      </c>
      <c r="E46" s="79"/>
      <c r="F46" s="79"/>
      <c r="G46" s="80">
        <f>H45 * I45</f>
        <v>336321.42857142852</v>
      </c>
      <c r="H46" s="79"/>
      <c r="I46" s="79"/>
      <c r="J46" s="80">
        <f>K45 * L45</f>
        <v>605378.57142857136</v>
      </c>
      <c r="K46" s="79"/>
      <c r="L46" s="79"/>
      <c r="M46" s="85">
        <f>N45*O45</f>
        <v>201792.85714285713</v>
      </c>
      <c r="N46" s="79"/>
      <c r="O46" s="79"/>
      <c r="P46" s="80">
        <f ca="1">ROUND((P45 * Q45) / 12, -1)</f>
        <v>113520</v>
      </c>
      <c r="Q46" s="80"/>
      <c r="R46" s="15">
        <f>B43*0.5*R45</f>
        <v>0</v>
      </c>
      <c r="S46" s="82"/>
      <c r="T46" s="84"/>
      <c r="U46" s="10" t="s">
        <v>19</v>
      </c>
      <c r="V46" s="87">
        <f>D46+F45+G46+L46+M46</f>
        <v>2694994.2857142859</v>
      </c>
      <c r="W46" s="88"/>
    </row>
    <row r="49" spans="1:23">
      <c r="A49" s="2" t="s">
        <v>88</v>
      </c>
      <c r="B49" s="3">
        <f>( (D51 * 209) + F51 ) / 209</f>
        <v>10320</v>
      </c>
      <c r="C49" s="79" t="s">
        <v>3</v>
      </c>
      <c r="D49" s="79"/>
      <c r="E49" s="79"/>
      <c r="F49" s="79"/>
      <c r="G49" s="79" t="s">
        <v>14</v>
      </c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 t="s">
        <v>15</v>
      </c>
      <c r="S49" s="79"/>
      <c r="T49" s="79"/>
      <c r="U49" s="79" t="s">
        <v>18</v>
      </c>
      <c r="V49" s="79"/>
      <c r="W49" s="79"/>
    </row>
    <row r="50" spans="1:23">
      <c r="A50" s="56" t="s">
        <v>92</v>
      </c>
      <c r="B50" s="4" t="s">
        <v>2</v>
      </c>
      <c r="C50" s="79" t="s">
        <v>4</v>
      </c>
      <c r="D50" s="79"/>
      <c r="E50" s="10" t="s">
        <v>5</v>
      </c>
      <c r="F50" s="10" t="s">
        <v>6</v>
      </c>
      <c r="G50" s="79" t="s">
        <v>7</v>
      </c>
      <c r="H50" s="79"/>
      <c r="I50" s="79"/>
      <c r="J50" s="79" t="s">
        <v>8</v>
      </c>
      <c r="K50" s="79"/>
      <c r="L50" s="79"/>
      <c r="M50" s="79" t="s">
        <v>10</v>
      </c>
      <c r="N50" s="79"/>
      <c r="O50" s="79"/>
      <c r="P50" s="79" t="s">
        <v>11</v>
      </c>
      <c r="Q50" s="79"/>
      <c r="R50" s="10" t="s">
        <v>9</v>
      </c>
      <c r="S50" s="10" t="s">
        <v>12</v>
      </c>
      <c r="T50" s="10" t="s">
        <v>13</v>
      </c>
      <c r="U50" s="80">
        <f ca="1">ROUNDDOWN(SUM(D52, E51, G52, J52, M52, P52, R52, S51, T51), -1)</f>
        <v>1510000</v>
      </c>
      <c r="V50" s="80"/>
      <c r="W50" s="80"/>
    </row>
    <row r="51" spans="1:23">
      <c r="A51" s="56" t="s">
        <v>93</v>
      </c>
      <c r="B51" s="17">
        <v>46134</v>
      </c>
      <c r="C51" s="10">
        <v>141</v>
      </c>
      <c r="D51" s="11">
        <v>10320</v>
      </c>
      <c r="E51" s="12"/>
      <c r="F51" s="12"/>
      <c r="G51" s="13"/>
      <c r="H51" s="13">
        <f>G51*365/84</f>
        <v>0</v>
      </c>
      <c r="I51" s="11">
        <f>B49 * 1.5</f>
        <v>15480</v>
      </c>
      <c r="J51" s="58"/>
      <c r="K51" s="10">
        <f>J51*365/84</f>
        <v>0</v>
      </c>
      <c r="L51" s="11">
        <f>B49 * 1.5</f>
        <v>15480</v>
      </c>
      <c r="M51" s="10"/>
      <c r="N51" s="10">
        <f>M51*365/84</f>
        <v>0</v>
      </c>
      <c r="O51" s="15">
        <f>B49*0.5</f>
        <v>5160</v>
      </c>
      <c r="P51" s="54">
        <f>B49 * 5</f>
        <v>51600</v>
      </c>
      <c r="Q51" s="10">
        <f ca="1">IF(DATEDIF(B51, EOMONTH(NOW(), 0), "Y") &lt; 1, 11, MIN(25, 15 + INT((DATEDIF(B51, EOMONTH(NOW(), 0), "Y") - 1) / 2)))</f>
        <v>11</v>
      </c>
      <c r="R51" s="16"/>
      <c r="S51" s="81">
        <v>7580</v>
      </c>
      <c r="T51" s="83"/>
      <c r="U51" s="80"/>
      <c r="V51" s="80"/>
      <c r="W51" s="80"/>
    </row>
    <row r="52" spans="1:23">
      <c r="A52" s="18">
        <f ca="1">U50/C52</f>
        <v>10709.219858156028</v>
      </c>
      <c r="B52" s="4" t="s">
        <v>17</v>
      </c>
      <c r="C52" s="10">
        <f>SUM(C51, H51*1.5, K51*1.5)</f>
        <v>141</v>
      </c>
      <c r="D52" s="80">
        <f>(D51 * C51)  + F51</f>
        <v>1455120</v>
      </c>
      <c r="E52" s="79"/>
      <c r="F52" s="79"/>
      <c r="G52" s="80">
        <f>H51 * I51</f>
        <v>0</v>
      </c>
      <c r="H52" s="79"/>
      <c r="I52" s="79"/>
      <c r="J52" s="80">
        <f>K51 * L51</f>
        <v>0</v>
      </c>
      <c r="K52" s="79"/>
      <c r="L52" s="79"/>
      <c r="M52" s="85">
        <f>N51*O51</f>
        <v>0</v>
      </c>
      <c r="N52" s="79"/>
      <c r="O52" s="79"/>
      <c r="P52" s="80">
        <f ca="1">ROUND((P51 * Q51) / 12, -1)</f>
        <v>47300</v>
      </c>
      <c r="Q52" s="80"/>
      <c r="R52" s="15">
        <f>B49*0.5*R51</f>
        <v>0</v>
      </c>
      <c r="S52" s="82"/>
      <c r="T52" s="84"/>
      <c r="U52" s="10" t="s">
        <v>19</v>
      </c>
      <c r="V52" s="87">
        <f>D52+F51+G52+L52+M52</f>
        <v>1455120</v>
      </c>
      <c r="W52" s="88"/>
    </row>
    <row r="55" spans="1:23">
      <c r="A55" s="2" t="s">
        <v>88</v>
      </c>
      <c r="B55" s="3">
        <f>( (D57 * 209) + F57 ) / 209</f>
        <v>10320</v>
      </c>
      <c r="C55" s="79" t="s">
        <v>3</v>
      </c>
      <c r="D55" s="79"/>
      <c r="E55" s="79"/>
      <c r="F55" s="79"/>
      <c r="G55" s="79" t="s">
        <v>14</v>
      </c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 t="s">
        <v>15</v>
      </c>
      <c r="S55" s="79"/>
      <c r="T55" s="79"/>
      <c r="U55" s="79" t="s">
        <v>18</v>
      </c>
      <c r="V55" s="79"/>
      <c r="W55" s="79"/>
    </row>
    <row r="56" spans="1:23">
      <c r="A56" s="56" t="s">
        <v>92</v>
      </c>
      <c r="B56" s="4" t="s">
        <v>2</v>
      </c>
      <c r="C56" s="79" t="s">
        <v>4</v>
      </c>
      <c r="D56" s="79"/>
      <c r="E56" s="10" t="s">
        <v>5</v>
      </c>
      <c r="F56" s="10" t="s">
        <v>6</v>
      </c>
      <c r="G56" s="79" t="s">
        <v>7</v>
      </c>
      <c r="H56" s="79"/>
      <c r="I56" s="79"/>
      <c r="J56" s="79" t="s">
        <v>8</v>
      </c>
      <c r="K56" s="79"/>
      <c r="L56" s="79"/>
      <c r="M56" s="79" t="s">
        <v>10</v>
      </c>
      <c r="N56" s="79"/>
      <c r="O56" s="79"/>
      <c r="P56" s="79" t="s">
        <v>11</v>
      </c>
      <c r="Q56" s="79"/>
      <c r="R56" s="10" t="s">
        <v>9</v>
      </c>
      <c r="S56" s="10" t="s">
        <v>12</v>
      </c>
      <c r="T56" s="10" t="s">
        <v>13</v>
      </c>
      <c r="U56" s="80">
        <f ca="1">ROUNDDOWN(SUM(D58, E57, G58, J58, M58, P58, R58, S57, T57), -1)</f>
        <v>1564950</v>
      </c>
      <c r="V56" s="80"/>
      <c r="W56" s="80"/>
    </row>
    <row r="57" spans="1:23">
      <c r="A57" s="56" t="s">
        <v>94</v>
      </c>
      <c r="B57" s="17">
        <v>46122</v>
      </c>
      <c r="C57" s="10">
        <v>141</v>
      </c>
      <c r="D57" s="11">
        <v>10320</v>
      </c>
      <c r="E57" s="12"/>
      <c r="F57" s="12"/>
      <c r="G57" s="13"/>
      <c r="H57" s="13">
        <f>G57*365/84</f>
        <v>0</v>
      </c>
      <c r="I57" s="11">
        <f>B55 * 1.5</f>
        <v>15480</v>
      </c>
      <c r="J57" s="58"/>
      <c r="K57" s="10">
        <f>J57*365/84</f>
        <v>0</v>
      </c>
      <c r="L57" s="11">
        <f>B55 * 1.5</f>
        <v>15480</v>
      </c>
      <c r="M57" s="10">
        <v>3</v>
      </c>
      <c r="N57" s="10">
        <f>M57*365/84</f>
        <v>13.035714285714286</v>
      </c>
      <c r="O57" s="15">
        <f>B55*0.5</f>
        <v>5160</v>
      </c>
      <c r="P57" s="54">
        <f>B55 * 4.5</f>
        <v>46440</v>
      </c>
      <c r="Q57" s="10">
        <f ca="1">IF(DATEDIF(B57, EOMONTH(NOW(), 0), "Y") &lt; 1, 11, MIN(25, 15 + INT((DATEDIF(B57, EOMONTH(NOW(), 0), "Y") - 1) / 2)))</f>
        <v>11</v>
      </c>
      <c r="R57" s="16"/>
      <c r="S57" s="81"/>
      <c r="T57" s="83"/>
      <c r="U57" s="80"/>
      <c r="V57" s="80"/>
      <c r="W57" s="80"/>
    </row>
    <row r="58" spans="1:23">
      <c r="A58" s="18">
        <f ca="1">U56/C58</f>
        <v>11098.936170212766</v>
      </c>
      <c r="B58" s="4" t="s">
        <v>17</v>
      </c>
      <c r="C58" s="10">
        <f>SUM(C57, H57*1.5, K57*1.5)</f>
        <v>141</v>
      </c>
      <c r="D58" s="80">
        <f>(D57 * C57)  + F57</f>
        <v>1455120</v>
      </c>
      <c r="E58" s="79"/>
      <c r="F58" s="79"/>
      <c r="G58" s="80">
        <f>H57 * I57</f>
        <v>0</v>
      </c>
      <c r="H58" s="79"/>
      <c r="I58" s="79"/>
      <c r="J58" s="80">
        <f>K57 * L57</f>
        <v>0</v>
      </c>
      <c r="K58" s="79"/>
      <c r="L58" s="79"/>
      <c r="M58" s="85">
        <f>N57*O57</f>
        <v>67264.285714285725</v>
      </c>
      <c r="N58" s="79"/>
      <c r="O58" s="79"/>
      <c r="P58" s="80">
        <f ca="1">ROUND((P57 * Q57) / 12, -1)</f>
        <v>42570</v>
      </c>
      <c r="Q58" s="80"/>
      <c r="R58" s="15">
        <f>B55*0.5*R57</f>
        <v>0</v>
      </c>
      <c r="S58" s="82"/>
      <c r="T58" s="84"/>
      <c r="U58" s="10" t="s">
        <v>19</v>
      </c>
      <c r="V58" s="87">
        <f>D58+F57+G58+L58+M58</f>
        <v>1522384.2857142857</v>
      </c>
      <c r="W58" s="88"/>
    </row>
    <row r="61" spans="1:23">
      <c r="A61" s="2" t="s">
        <v>88</v>
      </c>
      <c r="B61" s="3">
        <f>( (D63 * 209) + F63 ) / 209</f>
        <v>10320</v>
      </c>
      <c r="C61" s="79" t="s">
        <v>3</v>
      </c>
      <c r="D61" s="79"/>
      <c r="E61" s="79"/>
      <c r="F61" s="79"/>
      <c r="G61" s="79" t="s">
        <v>14</v>
      </c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 t="s">
        <v>15</v>
      </c>
      <c r="S61" s="79"/>
      <c r="T61" s="79"/>
      <c r="U61" s="79" t="s">
        <v>18</v>
      </c>
      <c r="V61" s="79"/>
      <c r="W61" s="79"/>
    </row>
    <row r="62" spans="1:23">
      <c r="A62" s="55" t="s">
        <v>89</v>
      </c>
      <c r="B62" s="4" t="s">
        <v>2</v>
      </c>
      <c r="C62" s="79" t="s">
        <v>4</v>
      </c>
      <c r="D62" s="79"/>
      <c r="E62" s="10" t="s">
        <v>5</v>
      </c>
      <c r="F62" s="10" t="s">
        <v>6</v>
      </c>
      <c r="G62" s="79" t="s">
        <v>7</v>
      </c>
      <c r="H62" s="79"/>
      <c r="I62" s="79"/>
      <c r="J62" s="79" t="s">
        <v>8</v>
      </c>
      <c r="K62" s="79"/>
      <c r="L62" s="79"/>
      <c r="M62" s="79" t="s">
        <v>10</v>
      </c>
      <c r="N62" s="79"/>
      <c r="O62" s="79"/>
      <c r="P62" s="79" t="s">
        <v>11</v>
      </c>
      <c r="Q62" s="79"/>
      <c r="R62" s="10" t="s">
        <v>9</v>
      </c>
      <c r="S62" s="10" t="s">
        <v>12</v>
      </c>
      <c r="T62" s="10" t="s">
        <v>13</v>
      </c>
      <c r="U62" s="80">
        <f ca="1">ROUNDDOWN(SUM(D64, E63, G64, J64, M64, P64, R64, S63, T63), -1)</f>
        <v>3300000</v>
      </c>
      <c r="V62" s="80"/>
      <c r="W62" s="80"/>
    </row>
    <row r="63" spans="1:23">
      <c r="A63" s="56" t="s">
        <v>1</v>
      </c>
      <c r="B63" s="17">
        <v>46122</v>
      </c>
      <c r="C63" s="10">
        <v>209</v>
      </c>
      <c r="D63" s="11">
        <v>10320</v>
      </c>
      <c r="E63" s="12"/>
      <c r="F63" s="12"/>
      <c r="G63" s="13">
        <v>5</v>
      </c>
      <c r="H63" s="13">
        <f>G63*365/84</f>
        <v>21.726190476190474</v>
      </c>
      <c r="I63" s="11">
        <f>B61 * 1.5</f>
        <v>15480</v>
      </c>
      <c r="J63" s="58">
        <v>9</v>
      </c>
      <c r="K63" s="10">
        <f>J63*365/84</f>
        <v>39.107142857142854</v>
      </c>
      <c r="L63" s="11">
        <f>B61 * 1.5</f>
        <v>15480</v>
      </c>
      <c r="M63" s="10"/>
      <c r="N63" s="10">
        <f>M63*365/84</f>
        <v>0</v>
      </c>
      <c r="O63" s="15">
        <f>B61*0.5</f>
        <v>5160</v>
      </c>
      <c r="P63" s="54">
        <f>B61 * 12</f>
        <v>123840</v>
      </c>
      <c r="Q63" s="10">
        <f ca="1">IF(DATEDIF(B63, EOMONTH(NOW(), 0), "Y") &lt; 1, 11, MIN(25, 15 + INT((DATEDIF(B63, EOMONTH(NOW(), 0), "Y") - 1) / 2)))</f>
        <v>11</v>
      </c>
      <c r="R63" s="16"/>
      <c r="S63" s="81">
        <v>87900</v>
      </c>
      <c r="T63" s="83"/>
      <c r="U63" s="80"/>
      <c r="V63" s="80"/>
      <c r="W63" s="80"/>
    </row>
    <row r="64" spans="1:23">
      <c r="A64" s="18">
        <f ca="1">U62/C64</f>
        <v>10990.840965861782</v>
      </c>
      <c r="B64" s="4" t="s">
        <v>17</v>
      </c>
      <c r="C64" s="10">
        <f>SUM(C63, H63*1.5, K63*1.5)</f>
        <v>300.25</v>
      </c>
      <c r="D64" s="80">
        <f>(D63 * 209)  + F63</f>
        <v>2156880</v>
      </c>
      <c r="E64" s="79"/>
      <c r="F64" s="79"/>
      <c r="G64" s="80">
        <f>H63 * I63</f>
        <v>336321.42857142852</v>
      </c>
      <c r="H64" s="79"/>
      <c r="I64" s="79"/>
      <c r="J64" s="80">
        <f>K63 * L63</f>
        <v>605378.57142857136</v>
      </c>
      <c r="K64" s="79"/>
      <c r="L64" s="79"/>
      <c r="M64" s="85">
        <f>N63*O63</f>
        <v>0</v>
      </c>
      <c r="N64" s="79"/>
      <c r="O64" s="79"/>
      <c r="P64" s="80">
        <f ca="1">ROUND((P63 * Q63) / 12, -1)</f>
        <v>113520</v>
      </c>
      <c r="Q64" s="80"/>
      <c r="R64" s="15">
        <f>B61*0.5*R63</f>
        <v>0</v>
      </c>
      <c r="S64" s="82"/>
      <c r="T64" s="84"/>
      <c r="U64" s="10" t="s">
        <v>19</v>
      </c>
      <c r="V64" s="87">
        <f>D64+F63+G64+L64+M64</f>
        <v>2493201.4285714286</v>
      </c>
      <c r="W64" s="88"/>
    </row>
    <row r="67" spans="1:23">
      <c r="A67" s="2" t="s">
        <v>16</v>
      </c>
      <c r="B67" s="20">
        <f>( (D69 * 209) + F69 ) / 209</f>
        <v>10320</v>
      </c>
      <c r="C67" s="79" t="s">
        <v>3</v>
      </c>
      <c r="D67" s="79"/>
      <c r="E67" s="79"/>
      <c r="F67" s="79"/>
      <c r="G67" s="79" t="s">
        <v>14</v>
      </c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 t="s">
        <v>15</v>
      </c>
      <c r="S67" s="79"/>
      <c r="T67" s="79"/>
      <c r="U67" s="79" t="s">
        <v>18</v>
      </c>
      <c r="V67" s="79"/>
      <c r="W67" s="79"/>
    </row>
    <row r="68" spans="1:23">
      <c r="A68" s="9" t="s">
        <v>20</v>
      </c>
      <c r="B68" s="2" t="s">
        <v>24</v>
      </c>
      <c r="C68" s="79" t="s">
        <v>4</v>
      </c>
      <c r="D68" s="79"/>
      <c r="E68" s="10" t="s">
        <v>5</v>
      </c>
      <c r="F68" s="10" t="s">
        <v>6</v>
      </c>
      <c r="G68" s="79" t="s">
        <v>7</v>
      </c>
      <c r="H68" s="79"/>
      <c r="I68" s="79"/>
      <c r="J68" s="79" t="s">
        <v>8</v>
      </c>
      <c r="K68" s="79"/>
      <c r="L68" s="79"/>
      <c r="M68" s="79" t="s">
        <v>10</v>
      </c>
      <c r="N68" s="79"/>
      <c r="O68" s="79"/>
      <c r="P68" s="79" t="s">
        <v>11</v>
      </c>
      <c r="Q68" s="79"/>
      <c r="R68" s="10" t="s">
        <v>9</v>
      </c>
      <c r="S68" s="10" t="s">
        <v>12</v>
      </c>
      <c r="T68" s="10" t="s">
        <v>13</v>
      </c>
      <c r="U68" s="80">
        <f ca="1">ROUNDDOWN(SUM(D70, E69, G70, J70, M70, P70, R70, S69, T69), -1)</f>
        <v>3100000</v>
      </c>
      <c r="V68" s="80"/>
      <c r="W68" s="80"/>
    </row>
    <row r="69" spans="1:23">
      <c r="A69" s="9" t="s">
        <v>21</v>
      </c>
      <c r="B69" s="19">
        <v>46129</v>
      </c>
      <c r="C69" s="10">
        <v>209</v>
      </c>
      <c r="D69" s="11">
        <v>10320</v>
      </c>
      <c r="E69" s="21"/>
      <c r="F69" s="21"/>
      <c r="G69" s="13">
        <v>7.5</v>
      </c>
      <c r="H69" s="13">
        <f>G69*365/84</f>
        <v>32.589285714285715</v>
      </c>
      <c r="I69" s="11">
        <f>B67 * 1.5</f>
        <v>15480</v>
      </c>
      <c r="J69" s="58">
        <v>4.75</v>
      </c>
      <c r="K69" s="10">
        <f>J69*365/84</f>
        <v>20.639880952380953</v>
      </c>
      <c r="L69" s="11">
        <f>B67 * 1.5</f>
        <v>15480</v>
      </c>
      <c r="M69" s="10"/>
      <c r="N69" s="10">
        <v>0</v>
      </c>
      <c r="O69" s="15">
        <f>B67*0.5</f>
        <v>5160</v>
      </c>
      <c r="P69" s="54">
        <f>B67 * 12</f>
        <v>123840</v>
      </c>
      <c r="Q69" s="10">
        <f ca="1">IF(DATEDIF(B69, EOMONTH(NOW(), 0), "Y") &lt; 1, 11, MIN(25, 15 + INT((DATEDIF(B69, EOMONTH(NOW(), 0), "Y") - 1) / 2)))</f>
        <v>11</v>
      </c>
      <c r="R69" s="22"/>
      <c r="S69" s="89">
        <v>5620</v>
      </c>
      <c r="T69" s="91"/>
      <c r="U69" s="80"/>
      <c r="V69" s="80"/>
      <c r="W69" s="80"/>
    </row>
    <row r="70" spans="1:23">
      <c r="A70" s="18">
        <f ca="1">U68/C70</f>
        <v>10732.44617548415</v>
      </c>
      <c r="B70" s="2" t="s">
        <v>25</v>
      </c>
      <c r="C70" s="10">
        <f>SUM(C69, H69*1.5, K69*1.5)</f>
        <v>288.84375</v>
      </c>
      <c r="D70" s="80">
        <f>(D69 * 209) +  F69</f>
        <v>2156880</v>
      </c>
      <c r="E70" s="79"/>
      <c r="F70" s="79"/>
      <c r="G70" s="80">
        <f>H69 * I69</f>
        <v>504482.1428571429</v>
      </c>
      <c r="H70" s="79"/>
      <c r="I70" s="79"/>
      <c r="J70" s="80">
        <f>K69 * L69</f>
        <v>319505.35714285716</v>
      </c>
      <c r="K70" s="79"/>
      <c r="L70" s="79"/>
      <c r="M70" s="85">
        <f>N69*O69</f>
        <v>0</v>
      </c>
      <c r="N70" s="79"/>
      <c r="O70" s="79"/>
      <c r="P70" s="80">
        <f ca="1">ROUND((P69 * Q69) / 12, -1)</f>
        <v>113520</v>
      </c>
      <c r="Q70" s="80"/>
      <c r="R70" s="15">
        <f>B67*0.5*R69</f>
        <v>0</v>
      </c>
      <c r="S70" s="90"/>
      <c r="T70" s="92"/>
      <c r="U70" s="10" t="s">
        <v>19</v>
      </c>
      <c r="V70" s="87">
        <f>D70+F69+G70+L70+M70</f>
        <v>2661362.1428571427</v>
      </c>
      <c r="W70" s="88"/>
    </row>
    <row r="73" spans="1:23">
      <c r="A73" s="2" t="s">
        <v>88</v>
      </c>
      <c r="B73" s="3">
        <f>( (D75 * 209) + F75 ) / 209</f>
        <v>10320</v>
      </c>
      <c r="C73" s="79" t="s">
        <v>3</v>
      </c>
      <c r="D73" s="79"/>
      <c r="E73" s="79"/>
      <c r="F73" s="79"/>
      <c r="G73" s="79" t="s">
        <v>14</v>
      </c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 t="s">
        <v>15</v>
      </c>
      <c r="S73" s="79"/>
      <c r="T73" s="79"/>
      <c r="U73" s="79" t="s">
        <v>18</v>
      </c>
      <c r="V73" s="79"/>
      <c r="W73" s="79"/>
    </row>
    <row r="74" spans="1:23">
      <c r="A74" s="56" t="s">
        <v>89</v>
      </c>
      <c r="B74" s="4" t="s">
        <v>2</v>
      </c>
      <c r="C74" s="79" t="s">
        <v>4</v>
      </c>
      <c r="D74" s="79"/>
      <c r="E74" s="10" t="s">
        <v>5</v>
      </c>
      <c r="F74" s="10" t="s">
        <v>6</v>
      </c>
      <c r="G74" s="79" t="s">
        <v>7</v>
      </c>
      <c r="H74" s="79"/>
      <c r="I74" s="79"/>
      <c r="J74" s="79" t="s">
        <v>8</v>
      </c>
      <c r="K74" s="79"/>
      <c r="L74" s="79"/>
      <c r="M74" s="79" t="s">
        <v>10</v>
      </c>
      <c r="N74" s="79"/>
      <c r="O74" s="79"/>
      <c r="P74" s="79" t="s">
        <v>11</v>
      </c>
      <c r="Q74" s="79"/>
      <c r="R74" s="10" t="s">
        <v>9</v>
      </c>
      <c r="S74" s="10" t="s">
        <v>12</v>
      </c>
      <c r="T74" s="10" t="s">
        <v>13</v>
      </c>
      <c r="U74" s="80">
        <f ca="1">ROUNDDOWN(SUM(D76, E75, G76, J76, M76, P76, R76, S75, T75), -1)</f>
        <v>3320000</v>
      </c>
      <c r="V74" s="80"/>
      <c r="W74" s="80"/>
    </row>
    <row r="75" spans="1:23">
      <c r="A75" s="56" t="s">
        <v>95</v>
      </c>
      <c r="B75" s="17">
        <v>46132</v>
      </c>
      <c r="C75" s="10">
        <v>209</v>
      </c>
      <c r="D75" s="11">
        <v>10320</v>
      </c>
      <c r="E75" s="12"/>
      <c r="F75" s="12"/>
      <c r="G75" s="13">
        <v>5</v>
      </c>
      <c r="H75" s="13">
        <f>G75*365/84</f>
        <v>21.726190476190474</v>
      </c>
      <c r="I75" s="11">
        <f>B73 * 1.5</f>
        <v>15480</v>
      </c>
      <c r="J75" s="58">
        <v>9</v>
      </c>
      <c r="K75" s="10">
        <f>J75*365/84</f>
        <v>39.107142857142854</v>
      </c>
      <c r="L75" s="11">
        <f>B73 * 1.5</f>
        <v>15480</v>
      </c>
      <c r="M75" s="10">
        <v>3</v>
      </c>
      <c r="N75" s="10">
        <f>M75*365/84</f>
        <v>13.035714285714286</v>
      </c>
      <c r="O75" s="15">
        <f>B73*0.5</f>
        <v>5160</v>
      </c>
      <c r="P75" s="54">
        <f>B73 * 12</f>
        <v>123840</v>
      </c>
      <c r="Q75" s="10">
        <f ca="1">IF(DATEDIF(B75, EOMONTH(NOW(), 0), "Y") &lt; 1, 11, MIN(25, 15 + INT((DATEDIF(B75, EOMONTH(NOW(), 0), "Y") - 1) / 2)))</f>
        <v>11</v>
      </c>
      <c r="R75" s="16"/>
      <c r="S75" s="81">
        <v>40640</v>
      </c>
      <c r="T75" s="83"/>
      <c r="U75" s="80"/>
      <c r="V75" s="80"/>
      <c r="W75" s="80"/>
    </row>
    <row r="76" spans="1:23">
      <c r="A76" s="18">
        <f ca="1">U74/C76</f>
        <v>11057.452123230642</v>
      </c>
      <c r="B76" s="4" t="s">
        <v>17</v>
      </c>
      <c r="C76" s="10">
        <f>SUM(C75, H75*1.5, K75*1.5)</f>
        <v>300.25</v>
      </c>
      <c r="D76" s="80">
        <f>(D75 * C75)  + F75</f>
        <v>2156880</v>
      </c>
      <c r="E76" s="79"/>
      <c r="F76" s="79"/>
      <c r="G76" s="80">
        <f>H75 * I75</f>
        <v>336321.42857142852</v>
      </c>
      <c r="H76" s="79"/>
      <c r="I76" s="79"/>
      <c r="J76" s="80">
        <f>K75 * L75</f>
        <v>605378.57142857136</v>
      </c>
      <c r="K76" s="79"/>
      <c r="L76" s="79"/>
      <c r="M76" s="85">
        <f>N75*O75</f>
        <v>67264.285714285725</v>
      </c>
      <c r="N76" s="79"/>
      <c r="O76" s="79"/>
      <c r="P76" s="80">
        <f ca="1">ROUND((P75 * Q75) / 12, -1)</f>
        <v>113520</v>
      </c>
      <c r="Q76" s="80"/>
      <c r="R76" s="15">
        <f>B73*0.5*R75</f>
        <v>0</v>
      </c>
      <c r="S76" s="82"/>
      <c r="T76" s="84"/>
      <c r="U76" s="10" t="s">
        <v>19</v>
      </c>
      <c r="V76" s="87">
        <f>D76+F75+G76+L76+M76</f>
        <v>2560465.7142857146</v>
      </c>
      <c r="W76" s="88"/>
    </row>
    <row r="80" spans="1:23">
      <c r="A80" s="2" t="s">
        <v>96</v>
      </c>
      <c r="B80" s="57">
        <f>(A83+F82)/C83</f>
        <v>10666.181975549063</v>
      </c>
      <c r="C80" s="79" t="s">
        <v>3</v>
      </c>
      <c r="D80" s="79"/>
      <c r="E80" s="79"/>
      <c r="F80" s="79"/>
      <c r="G80" s="79" t="s">
        <v>14</v>
      </c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 t="s">
        <v>15</v>
      </c>
      <c r="S80" s="79"/>
      <c r="T80" s="79"/>
      <c r="U80" s="79" t="s">
        <v>18</v>
      </c>
      <c r="V80" s="79"/>
      <c r="W80" s="79"/>
    </row>
    <row r="81" spans="1:26">
      <c r="A81" s="61">
        <v>24</v>
      </c>
      <c r="B81" s="2" t="s">
        <v>97</v>
      </c>
      <c r="C81" s="79" t="s">
        <v>4</v>
      </c>
      <c r="D81" s="79"/>
      <c r="E81" s="10" t="s">
        <v>5</v>
      </c>
      <c r="F81" s="10" t="s">
        <v>6</v>
      </c>
      <c r="G81" s="79" t="s">
        <v>7</v>
      </c>
      <c r="H81" s="79"/>
      <c r="I81" s="79"/>
      <c r="J81" s="79" t="s">
        <v>8</v>
      </c>
      <c r="K81" s="79"/>
      <c r="L81" s="79"/>
      <c r="M81" s="79" t="s">
        <v>10</v>
      </c>
      <c r="N81" s="79"/>
      <c r="O81" s="79"/>
      <c r="P81" s="79" t="s">
        <v>11</v>
      </c>
      <c r="Q81" s="79"/>
      <c r="R81" s="10" t="s">
        <v>9</v>
      </c>
      <c r="S81" s="10" t="s">
        <v>12</v>
      </c>
      <c r="T81" s="10" t="s">
        <v>13</v>
      </c>
      <c r="U81" s="80">
        <f ca="1">ROUNDDOWN(SUM(D83, G83, J83, M83, R83, S82,P83, T82,), -1)</f>
        <v>3270400</v>
      </c>
      <c r="V81" s="80"/>
      <c r="W81" s="80"/>
      <c r="X81" s="63" t="s">
        <v>98</v>
      </c>
    </row>
    <row r="82" spans="1:26">
      <c r="A82" s="60">
        <v>3200000</v>
      </c>
      <c r="B82" s="19">
        <v>45659</v>
      </c>
      <c r="C82" s="10">
        <v>209</v>
      </c>
      <c r="D82" s="11">
        <v>10320</v>
      </c>
      <c r="E82" s="21">
        <v>200000</v>
      </c>
      <c r="F82" s="21">
        <v>100000</v>
      </c>
      <c r="G82" s="13">
        <v>7.5</v>
      </c>
      <c r="H82" s="13">
        <f>G82*365/84</f>
        <v>32.589285714285715</v>
      </c>
      <c r="I82" s="11">
        <f>B80 * 1.5</f>
        <v>15999.272963323594</v>
      </c>
      <c r="J82" s="58">
        <v>4.75</v>
      </c>
      <c r="K82" s="10">
        <f>J82*365/84</f>
        <v>20.639880952380953</v>
      </c>
      <c r="L82" s="11">
        <f>B80 * 1.5</f>
        <v>15999.272963323594</v>
      </c>
      <c r="M82" s="10"/>
      <c r="N82" s="10">
        <v>0</v>
      </c>
      <c r="O82" s="15">
        <f>B80*0.5</f>
        <v>5333.0909877745316</v>
      </c>
      <c r="P82" s="54">
        <f xml:space="preserve"> ROUND((D83 + G83 + J83 + M83) / 24, -1)</f>
        <v>129520</v>
      </c>
      <c r="Q82" s="10">
        <f ca="1">IF(DATEDIF(B82, EOMONTH(NOW(), 0), "Y") &lt; 1, 11, MIN(25, 15 + INT((DATEDIF(B82, EOMONTH(NOW(), 0), "Y") - 1) / 2)))</f>
        <v>15</v>
      </c>
      <c r="R82" s="22"/>
      <c r="S82" s="89"/>
      <c r="T82" s="91"/>
      <c r="U82" s="80"/>
      <c r="V82" s="80"/>
      <c r="W82" s="80"/>
      <c r="X82" t="s">
        <v>101</v>
      </c>
    </row>
    <row r="83" spans="1:26">
      <c r="A83" s="62">
        <v>2980860</v>
      </c>
      <c r="B83" s="2" t="s">
        <v>25</v>
      </c>
      <c r="C83" s="10">
        <f>SUM(C82, H82*1.5, K82*1.5)</f>
        <v>288.84375</v>
      </c>
      <c r="D83" s="80">
        <f>(D82 * C82)+F82</f>
        <v>2256880</v>
      </c>
      <c r="E83" s="79"/>
      <c r="F83" s="79"/>
      <c r="G83" s="80">
        <f>H82 * I82</f>
        <v>521404.87782259926</v>
      </c>
      <c r="H83" s="79"/>
      <c r="I83" s="79"/>
      <c r="J83" s="80">
        <f>K82 * L82</f>
        <v>330223.08928764623</v>
      </c>
      <c r="K83" s="79"/>
      <c r="L83" s="79"/>
      <c r="M83" s="85">
        <f>N82*O82</f>
        <v>0</v>
      </c>
      <c r="N83" s="79"/>
      <c r="O83" s="79"/>
      <c r="P83" s="80">
        <f ca="1">ROUND((P82 * Q82) / 12, -1)</f>
        <v>161900</v>
      </c>
      <c r="Q83" s="80"/>
      <c r="R83" s="15">
        <f>B80*0.5*R82</f>
        <v>0</v>
      </c>
      <c r="S83" s="90"/>
      <c r="T83" s="92"/>
      <c r="U83" s="10" t="s">
        <v>19</v>
      </c>
      <c r="V83" s="87">
        <f>D83-F82+G83+J83+M83</f>
        <v>3008507.9671102455</v>
      </c>
      <c r="W83" s="88"/>
    </row>
    <row r="86" spans="1:26">
      <c r="A86" s="2" t="s">
        <v>96</v>
      </c>
      <c r="B86" s="3">
        <f>( (D88 * 209) + F88 ) / 209</f>
        <v>10798.468899521531</v>
      </c>
      <c r="C86" s="79" t="s">
        <v>3</v>
      </c>
      <c r="D86" s="79"/>
      <c r="E86" s="79"/>
      <c r="F86" s="79"/>
      <c r="G86" s="79" t="s">
        <v>14</v>
      </c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 t="s">
        <v>15</v>
      </c>
      <c r="S86" s="79"/>
      <c r="T86" s="79"/>
      <c r="U86" s="79" t="s">
        <v>18</v>
      </c>
      <c r="V86" s="79"/>
      <c r="W86" s="79"/>
    </row>
    <row r="87" spans="1:26">
      <c r="A87" s="8" t="s">
        <v>0</v>
      </c>
      <c r="B87" s="4" t="s">
        <v>97</v>
      </c>
      <c r="C87" s="79" t="s">
        <v>4</v>
      </c>
      <c r="D87" s="79"/>
      <c r="E87" s="10" t="s">
        <v>5</v>
      </c>
      <c r="F87" s="10" t="s">
        <v>6</v>
      </c>
      <c r="G87" s="79" t="s">
        <v>7</v>
      </c>
      <c r="H87" s="79"/>
      <c r="I87" s="79"/>
      <c r="J87" s="79" t="s">
        <v>8</v>
      </c>
      <c r="K87" s="79"/>
      <c r="L87" s="79"/>
      <c r="M87" s="79" t="s">
        <v>10</v>
      </c>
      <c r="N87" s="79"/>
      <c r="O87" s="79"/>
      <c r="P87" s="79" t="s">
        <v>11</v>
      </c>
      <c r="Q87" s="79"/>
      <c r="R87" s="10" t="s">
        <v>9</v>
      </c>
      <c r="S87" s="10" t="s">
        <v>12</v>
      </c>
      <c r="T87" s="10" t="s">
        <v>13</v>
      </c>
      <c r="U87" s="80">
        <f ca="1">ROUNDDOWN(SUM(D89, G89, J89, M89, P89, R89, S88, T88), -1)</f>
        <v>3619410</v>
      </c>
      <c r="V87" s="80"/>
      <c r="W87" s="80"/>
    </row>
    <row r="88" spans="1:26">
      <c r="A88" s="8" t="s">
        <v>1</v>
      </c>
      <c r="B88" s="17">
        <v>45659</v>
      </c>
      <c r="C88" s="10">
        <v>209</v>
      </c>
      <c r="D88" s="11">
        <v>10320</v>
      </c>
      <c r="E88" s="12">
        <v>200000</v>
      </c>
      <c r="F88" s="12">
        <v>100000</v>
      </c>
      <c r="G88" s="13">
        <v>7.5</v>
      </c>
      <c r="H88" s="13">
        <f>G88*365/84</f>
        <v>32.589285714285715</v>
      </c>
      <c r="I88" s="11">
        <f>B86 * 1.5</f>
        <v>16197.703349282296</v>
      </c>
      <c r="J88" s="58">
        <v>9.5</v>
      </c>
      <c r="K88" s="10">
        <f>J88*365/84</f>
        <v>41.279761904761905</v>
      </c>
      <c r="L88" s="11">
        <f>B86 * 1.5</f>
        <v>16197.703349282296</v>
      </c>
      <c r="M88" s="10"/>
      <c r="N88" s="10">
        <v>0</v>
      </c>
      <c r="O88" s="15">
        <f>B86*0.5</f>
        <v>5399.2344497607655</v>
      </c>
      <c r="P88" s="54">
        <f xml:space="preserve"> ROUND((D89 + G89 + J89 + M89) / 26, -1)</f>
        <v>132820</v>
      </c>
      <c r="Q88" s="10">
        <f ca="1">IF(DATEDIF(B88, EOMONTH(NOW(), 0), "Y") &lt; 1, 11, MIN(25, 15 + INT((DATEDIF(B88, EOMONTH(NOW(), 0), "Y") - 1) / 2)))</f>
        <v>15</v>
      </c>
      <c r="R88" s="16"/>
      <c r="S88" s="83"/>
      <c r="T88" s="83"/>
      <c r="U88" s="80"/>
      <c r="V88" s="80"/>
      <c r="W88" s="80"/>
    </row>
    <row r="89" spans="1:26">
      <c r="A89" s="18">
        <f ca="1">U87/C89</f>
        <v>11317.603439611368</v>
      </c>
      <c r="B89" s="4" t="s">
        <v>17</v>
      </c>
      <c r="C89" s="10">
        <f>SUM(C88, H88*1.5, K88*1.5)</f>
        <v>319.80357142857144</v>
      </c>
      <c r="D89" s="80">
        <f>(D88 * 209)  + F88</f>
        <v>2256880</v>
      </c>
      <c r="E89" s="79"/>
      <c r="F89" s="79"/>
      <c r="G89" s="80">
        <f>H88 * I88</f>
        <v>527871.58236500341</v>
      </c>
      <c r="H89" s="79"/>
      <c r="I89" s="79"/>
      <c r="J89" s="80">
        <f>K88 * L88</f>
        <v>668637.33766233758</v>
      </c>
      <c r="K89" s="79"/>
      <c r="L89" s="79"/>
      <c r="M89" s="85">
        <f>N88*O88</f>
        <v>0</v>
      </c>
      <c r="N89" s="79"/>
      <c r="O89" s="79"/>
      <c r="P89" s="80">
        <f ca="1">ROUND((P88 * Q88) / 12, -1)</f>
        <v>166030</v>
      </c>
      <c r="Q89" s="80"/>
      <c r="R89" s="15">
        <f>B86*0.5*R88</f>
        <v>0</v>
      </c>
      <c r="S89" s="84"/>
      <c r="T89" s="84"/>
      <c r="U89" s="10" t="s">
        <v>19</v>
      </c>
      <c r="V89" s="87">
        <f>D89+F88+G89+L89+M89</f>
        <v>2884751.5823650034</v>
      </c>
      <c r="W89" s="88"/>
    </row>
    <row r="92" spans="1:26">
      <c r="A92" s="2" t="s">
        <v>96</v>
      </c>
      <c r="B92" s="20">
        <f>( (D94 * 209) + F94 ) / 209</f>
        <v>10798.468899521531</v>
      </c>
      <c r="C92" s="79" t="s">
        <v>3</v>
      </c>
      <c r="D92" s="79"/>
      <c r="E92" s="79"/>
      <c r="F92" s="79"/>
      <c r="G92" s="79" t="s">
        <v>14</v>
      </c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 t="s">
        <v>15</v>
      </c>
      <c r="S92" s="79"/>
      <c r="T92" s="79"/>
      <c r="U92" s="79" t="s">
        <v>18</v>
      </c>
      <c r="V92" s="79"/>
      <c r="W92" s="79"/>
    </row>
    <row r="93" spans="1:26">
      <c r="A93" s="9" t="s">
        <v>20</v>
      </c>
      <c r="B93" s="2" t="s">
        <v>97</v>
      </c>
      <c r="C93" s="79" t="s">
        <v>4</v>
      </c>
      <c r="D93" s="79"/>
      <c r="E93" s="10" t="s">
        <v>5</v>
      </c>
      <c r="F93" s="10" t="s">
        <v>6</v>
      </c>
      <c r="G93" s="79" t="s">
        <v>7</v>
      </c>
      <c r="H93" s="79"/>
      <c r="I93" s="79"/>
      <c r="J93" s="79" t="s">
        <v>8</v>
      </c>
      <c r="K93" s="79"/>
      <c r="L93" s="79"/>
      <c r="M93" s="79" t="s">
        <v>10</v>
      </c>
      <c r="N93" s="79"/>
      <c r="O93" s="79"/>
      <c r="P93" s="79" t="s">
        <v>11</v>
      </c>
      <c r="Q93" s="79"/>
      <c r="R93" s="10" t="s">
        <v>9</v>
      </c>
      <c r="S93" s="10" t="s">
        <v>12</v>
      </c>
      <c r="T93" s="10" t="s">
        <v>13</v>
      </c>
      <c r="U93" s="80">
        <f ca="1">ROUNDDOWN(SUM(D95, G95, J95, M95, P95, R95, S94, T94), -1)</f>
        <v>3281520</v>
      </c>
      <c r="V93" s="80"/>
      <c r="W93" s="80"/>
      <c r="X93" s="63" t="s">
        <v>104</v>
      </c>
      <c r="Y93" s="64"/>
      <c r="Z93" s="66" t="s">
        <v>107</v>
      </c>
    </row>
    <row r="94" spans="1:26">
      <c r="A94" s="9" t="s">
        <v>21</v>
      </c>
      <c r="B94" s="19">
        <v>45659</v>
      </c>
      <c r="C94" s="10">
        <v>209</v>
      </c>
      <c r="D94" s="11">
        <v>10320</v>
      </c>
      <c r="E94" s="21">
        <v>200000</v>
      </c>
      <c r="F94" s="21">
        <v>100000</v>
      </c>
      <c r="G94" s="13">
        <v>7.5</v>
      </c>
      <c r="H94" s="13">
        <f>G94*365/84</f>
        <v>32.589285714285715</v>
      </c>
      <c r="I94" s="11">
        <f>B92 * 1.5</f>
        <v>16197.703349282296</v>
      </c>
      <c r="J94" s="58">
        <v>4.75</v>
      </c>
      <c r="K94" s="10">
        <f>J94*365/84</f>
        <v>20.639880952380953</v>
      </c>
      <c r="L94" s="11">
        <f>B92 * 1.5</f>
        <v>16197.703349282296</v>
      </c>
      <c r="M94" s="10"/>
      <c r="N94" s="10">
        <v>0</v>
      </c>
      <c r="O94" s="15">
        <f>B92*0.5</f>
        <v>5399.2344497607655</v>
      </c>
      <c r="P94" s="54">
        <f xml:space="preserve"> ROUND((D95 + G95 + J95 + M95) / 24, -1)</f>
        <v>129960</v>
      </c>
      <c r="Q94" s="10">
        <f ca="1">IF(DATEDIF(B94, EOMONTH(NOW(), 0), "Y") &lt; 1, 11, MIN(25, 15 + INT((DATEDIF(B94, EOMONTH(NOW(), 0), "Y") - 1) / 2)))</f>
        <v>15</v>
      </c>
      <c r="R94" s="22"/>
      <c r="S94" s="89"/>
      <c r="T94" s="91"/>
      <c r="U94" s="80"/>
      <c r="V94" s="80"/>
      <c r="W94" s="80"/>
      <c r="Y94" s="65"/>
    </row>
    <row r="95" spans="1:26">
      <c r="A95" s="18">
        <f ca="1">U93/C95</f>
        <v>11360.882830249919</v>
      </c>
      <c r="B95" s="2" t="s">
        <v>25</v>
      </c>
      <c r="C95" s="10">
        <f>SUM(C94, H94*1.5, K94*1.5)</f>
        <v>288.84375</v>
      </c>
      <c r="D95" s="80">
        <f>(D94 * 209) +  F94</f>
        <v>2256880</v>
      </c>
      <c r="E95" s="79"/>
      <c r="F95" s="79"/>
      <c r="G95" s="80">
        <f>H94 * I94</f>
        <v>527871.58236500341</v>
      </c>
      <c r="H95" s="79"/>
      <c r="I95" s="79"/>
      <c r="J95" s="80">
        <f>K94 * L94</f>
        <v>334318.66883116879</v>
      </c>
      <c r="K95" s="79"/>
      <c r="L95" s="79"/>
      <c r="M95" s="85">
        <f>N94*O94</f>
        <v>0</v>
      </c>
      <c r="N95" s="79"/>
      <c r="O95" s="79"/>
      <c r="P95" s="80">
        <f ca="1">ROUND((P94 * Q94) / 12, -1)</f>
        <v>162450</v>
      </c>
      <c r="Q95" s="80"/>
      <c r="R95" s="15">
        <f>B92*0.5*R94</f>
        <v>0</v>
      </c>
      <c r="S95" s="90"/>
      <c r="T95" s="92"/>
      <c r="U95" s="10" t="s">
        <v>19</v>
      </c>
      <c r="V95" s="87">
        <f>D95+G95+J95+M95</f>
        <v>3119070.2511961721</v>
      </c>
      <c r="W95" s="88"/>
    </row>
    <row r="98" spans="1:24">
      <c r="A98" s="2" t="s">
        <v>96</v>
      </c>
      <c r="B98" s="20">
        <f>( (D100 * 209) + F100 ) / 209</f>
        <v>11276.937799043062</v>
      </c>
      <c r="C98" s="79" t="s">
        <v>3</v>
      </c>
      <c r="D98" s="79"/>
      <c r="E98" s="79"/>
      <c r="F98" s="79"/>
      <c r="G98" s="79" t="s">
        <v>14</v>
      </c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 t="s">
        <v>15</v>
      </c>
      <c r="S98" s="79"/>
      <c r="T98" s="79"/>
      <c r="U98" s="79" t="s">
        <v>18</v>
      </c>
      <c r="V98" s="79"/>
      <c r="W98" s="79"/>
    </row>
    <row r="99" spans="1:24">
      <c r="A99" s="9" t="s">
        <v>20</v>
      </c>
      <c r="B99" s="2" t="s">
        <v>99</v>
      </c>
      <c r="C99" s="79" t="s">
        <v>4</v>
      </c>
      <c r="D99" s="79"/>
      <c r="E99" s="10" t="s">
        <v>5</v>
      </c>
      <c r="F99" s="10" t="s">
        <v>6</v>
      </c>
      <c r="G99" s="79" t="s">
        <v>7</v>
      </c>
      <c r="H99" s="79"/>
      <c r="I99" s="79"/>
      <c r="J99" s="79" t="s">
        <v>8</v>
      </c>
      <c r="K99" s="79"/>
      <c r="L99" s="79"/>
      <c r="M99" s="79" t="s">
        <v>10</v>
      </c>
      <c r="N99" s="79"/>
      <c r="O99" s="79"/>
      <c r="P99" s="79" t="s">
        <v>11</v>
      </c>
      <c r="Q99" s="79"/>
      <c r="R99" s="10" t="s">
        <v>9</v>
      </c>
      <c r="S99" s="10" t="s">
        <v>12</v>
      </c>
      <c r="T99" s="10" t="s">
        <v>13</v>
      </c>
      <c r="U99" s="80">
        <f ca="1">ROUNDDOWN(SUM(D101, G101, J101, M101, P101, R101, S100, T100), -1)</f>
        <v>3626920</v>
      </c>
      <c r="V99" s="80"/>
      <c r="W99" s="80"/>
      <c r="X99" s="63" t="s">
        <v>102</v>
      </c>
    </row>
    <row r="100" spans="1:24">
      <c r="A100" s="9" t="s">
        <v>21</v>
      </c>
      <c r="B100" s="19">
        <v>45700</v>
      </c>
      <c r="C100" s="10">
        <v>209</v>
      </c>
      <c r="D100" s="11">
        <v>10320</v>
      </c>
      <c r="E100" s="21">
        <v>200000</v>
      </c>
      <c r="F100" s="21">
        <v>200000</v>
      </c>
      <c r="G100" s="13">
        <v>7.5</v>
      </c>
      <c r="H100" s="13">
        <f>G100*365/84</f>
        <v>32.589285714285715</v>
      </c>
      <c r="I100" s="11">
        <f>B98 * 1.5</f>
        <v>16915.406698564591</v>
      </c>
      <c r="J100" s="58">
        <v>4.75</v>
      </c>
      <c r="K100" s="10">
        <f>J100*365/84</f>
        <v>20.639880952380953</v>
      </c>
      <c r="L100" s="11">
        <f>B98 * 1.5</f>
        <v>16915.406698564591</v>
      </c>
      <c r="M100" s="10"/>
      <c r="N100" s="10">
        <v>0</v>
      </c>
      <c r="O100" s="15">
        <f>B98*0.5</f>
        <v>5638.4688995215311</v>
      </c>
      <c r="P100" s="54">
        <f xml:space="preserve"> ROUND((D101 + G101 + J101 + M101) / 24, -1)</f>
        <v>135720</v>
      </c>
      <c r="Q100" s="10">
        <f ca="1">IF(DATEDIF(B100, EOMONTH(NOW(), 0), "Y") &lt; 1, 11, MIN(25, 15 + INT((DATEDIF(B100, EOMONTH(NOW(), 0), "Y") - 1) / 2)))</f>
        <v>15</v>
      </c>
      <c r="R100" s="22"/>
      <c r="S100" s="89">
        <v>200000</v>
      </c>
      <c r="T100" s="91"/>
      <c r="U100" s="80"/>
      <c r="V100" s="80"/>
      <c r="W100" s="80"/>
    </row>
    <row r="101" spans="1:24">
      <c r="A101" s="18">
        <f ca="1">U99/C101</f>
        <v>12556.68505896354</v>
      </c>
      <c r="B101" s="2" t="s">
        <v>100</v>
      </c>
      <c r="C101" s="10">
        <f>SUM(C100, H100*1.5, K100*1.5)</f>
        <v>288.84375</v>
      </c>
      <c r="D101" s="80">
        <f>(D100 * 209) +  F100</f>
        <v>2356880</v>
      </c>
      <c r="E101" s="79"/>
      <c r="F101" s="79"/>
      <c r="G101" s="80">
        <f>H100 * I100</f>
        <v>551261.02187286399</v>
      </c>
      <c r="H101" s="79"/>
      <c r="I101" s="79"/>
      <c r="J101" s="80">
        <f>K100 * L100</f>
        <v>349131.98051948048</v>
      </c>
      <c r="K101" s="79"/>
      <c r="L101" s="79"/>
      <c r="M101" s="85">
        <f>N100*O100</f>
        <v>0</v>
      </c>
      <c r="N101" s="79"/>
      <c r="O101" s="79"/>
      <c r="P101" s="80">
        <f ca="1">ROUND((P100 * Q100) / 12, -1)</f>
        <v>169650</v>
      </c>
      <c r="Q101" s="80"/>
      <c r="R101" s="15">
        <f>B98*0.5*R100</f>
        <v>0</v>
      </c>
      <c r="S101" s="90"/>
      <c r="T101" s="92"/>
      <c r="U101" s="10" t="s">
        <v>19</v>
      </c>
      <c r="V101" s="87">
        <f>D101+G101+J101+M101</f>
        <v>3257273.0023923446</v>
      </c>
      <c r="W101" s="88"/>
    </row>
    <row r="104" spans="1:24">
      <c r="A104" s="2" t="s">
        <v>96</v>
      </c>
      <c r="B104" s="57">
        <f>(A107+F106)/C107</f>
        <v>11012.389916693714</v>
      </c>
      <c r="C104" s="79" t="s">
        <v>3</v>
      </c>
      <c r="D104" s="79"/>
      <c r="E104" s="79"/>
      <c r="F104" s="79"/>
      <c r="G104" s="79" t="s">
        <v>14</v>
      </c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 t="s">
        <v>15</v>
      </c>
      <c r="S104" s="79"/>
      <c r="T104" s="79"/>
      <c r="U104" s="79" t="s">
        <v>18</v>
      </c>
      <c r="V104" s="79"/>
      <c r="W104" s="79"/>
    </row>
    <row r="105" spans="1:24">
      <c r="A105" s="61">
        <v>24</v>
      </c>
      <c r="B105" s="2" t="s">
        <v>99</v>
      </c>
      <c r="C105" s="79" t="s">
        <v>4</v>
      </c>
      <c r="D105" s="79"/>
      <c r="E105" s="10" t="s">
        <v>5</v>
      </c>
      <c r="F105" s="10" t="s">
        <v>6</v>
      </c>
      <c r="G105" s="79" t="s">
        <v>7</v>
      </c>
      <c r="H105" s="79"/>
      <c r="I105" s="79"/>
      <c r="J105" s="79" t="s">
        <v>8</v>
      </c>
      <c r="K105" s="79"/>
      <c r="L105" s="79"/>
      <c r="M105" s="79" t="s">
        <v>10</v>
      </c>
      <c r="N105" s="79"/>
      <c r="O105" s="79"/>
      <c r="P105" s="79" t="s">
        <v>11</v>
      </c>
      <c r="Q105" s="79"/>
      <c r="R105" s="10" t="s">
        <v>9</v>
      </c>
      <c r="S105" s="10" t="s">
        <v>12</v>
      </c>
      <c r="T105" s="10" t="s">
        <v>13</v>
      </c>
      <c r="U105" s="80">
        <f ca="1">ROUNDDOWN(SUM(D107, G107, J107, M107, R107, S106,P107, T106,), -1)</f>
        <v>3604700</v>
      </c>
      <c r="V105" s="80"/>
      <c r="W105" s="80"/>
      <c r="X105" s="63" t="s">
        <v>103</v>
      </c>
    </row>
    <row r="106" spans="1:24">
      <c r="A106" s="60">
        <v>3200000</v>
      </c>
      <c r="B106" s="19">
        <v>45659</v>
      </c>
      <c r="C106" s="10">
        <v>209</v>
      </c>
      <c r="D106" s="11">
        <v>10320</v>
      </c>
      <c r="E106" s="21">
        <v>200000</v>
      </c>
      <c r="F106" s="21">
        <v>200000</v>
      </c>
      <c r="G106" s="13">
        <v>7.5</v>
      </c>
      <c r="H106" s="13">
        <f>G106*365/84</f>
        <v>32.589285714285715</v>
      </c>
      <c r="I106" s="11">
        <f>B104 * 1.5</f>
        <v>16518.584875040571</v>
      </c>
      <c r="J106" s="58">
        <v>4.75</v>
      </c>
      <c r="K106" s="10">
        <f>J106*365/84</f>
        <v>20.639880952380953</v>
      </c>
      <c r="L106" s="11">
        <f>B104 * 1.5</f>
        <v>16518.584875040571</v>
      </c>
      <c r="M106" s="10"/>
      <c r="N106" s="10">
        <v>0</v>
      </c>
      <c r="O106" s="15">
        <f>B104*0.5</f>
        <v>5506.1949583468568</v>
      </c>
      <c r="P106" s="54">
        <f xml:space="preserve"> ROUND((D107 + G107 + J107 + M107) / 24, -1)</f>
        <v>134840</v>
      </c>
      <c r="Q106" s="10">
        <f ca="1">IF(DATEDIF(B106, EOMONTH(NOW(), 0), "Y") &lt; 1, 11, MIN(25, 15 + INT((DATEDIF(B106, EOMONTH(NOW(), 0), "Y") - 1) / 2)))</f>
        <v>15</v>
      </c>
      <c r="R106" s="22"/>
      <c r="S106" s="89">
        <v>200000</v>
      </c>
      <c r="T106" s="91"/>
      <c r="U106" s="80"/>
      <c r="V106" s="80"/>
      <c r="W106" s="80"/>
      <c r="X106" t="s">
        <v>101</v>
      </c>
    </row>
    <row r="107" spans="1:24">
      <c r="A107" s="62">
        <v>2980860</v>
      </c>
      <c r="B107" s="2" t="s">
        <v>25</v>
      </c>
      <c r="C107" s="10">
        <f>SUM(C106, H106*1.5, K106*1.5)</f>
        <v>288.84375</v>
      </c>
      <c r="D107" s="80">
        <f>(D106 * C106)+F106</f>
        <v>2356880</v>
      </c>
      <c r="E107" s="79"/>
      <c r="F107" s="79"/>
      <c r="G107" s="80">
        <f>H106 * I106</f>
        <v>538328.88208837574</v>
      </c>
      <c r="H107" s="79"/>
      <c r="I107" s="79"/>
      <c r="J107" s="80">
        <f>K106 * L106</f>
        <v>340941.62532263796</v>
      </c>
      <c r="K107" s="79"/>
      <c r="L107" s="79"/>
      <c r="M107" s="85">
        <f>N106*O106</f>
        <v>0</v>
      </c>
      <c r="N107" s="79"/>
      <c r="O107" s="79"/>
      <c r="P107" s="80">
        <f ca="1">ROUND((P106 * Q106) / 12, -1)</f>
        <v>168550</v>
      </c>
      <c r="Q107" s="80"/>
      <c r="R107" s="15">
        <f>B104*0.5*R106</f>
        <v>0</v>
      </c>
      <c r="S107" s="90"/>
      <c r="T107" s="92"/>
      <c r="U107" s="10" t="s">
        <v>19</v>
      </c>
      <c r="V107" s="87">
        <f>D107-F106+G107+J107+M107</f>
        <v>3036150.5074110138</v>
      </c>
      <c r="W107" s="88"/>
    </row>
    <row r="110" spans="1:24">
      <c r="A110" s="2" t="s">
        <v>96</v>
      </c>
      <c r="B110" s="3">
        <f>( (D112 * 209) + F112 ) / 209</f>
        <v>10320</v>
      </c>
      <c r="C110" s="79" t="s">
        <v>3</v>
      </c>
      <c r="D110" s="79"/>
      <c r="E110" s="79"/>
      <c r="F110" s="79"/>
      <c r="G110" s="79" t="s">
        <v>14</v>
      </c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 t="s">
        <v>15</v>
      </c>
      <c r="S110" s="79"/>
      <c r="T110" s="79"/>
      <c r="U110" s="79" t="s">
        <v>18</v>
      </c>
      <c r="V110" s="79"/>
      <c r="W110" s="79"/>
    </row>
    <row r="111" spans="1:24">
      <c r="A111" s="8" t="s">
        <v>0</v>
      </c>
      <c r="B111" s="4" t="s">
        <v>105</v>
      </c>
      <c r="C111" s="79" t="s">
        <v>4</v>
      </c>
      <c r="D111" s="79"/>
      <c r="E111" s="10" t="s">
        <v>5</v>
      </c>
      <c r="F111" s="10" t="s">
        <v>6</v>
      </c>
      <c r="G111" s="79" t="s">
        <v>7</v>
      </c>
      <c r="H111" s="79"/>
      <c r="I111" s="79"/>
      <c r="J111" s="79" t="s">
        <v>8</v>
      </c>
      <c r="K111" s="79"/>
      <c r="L111" s="79"/>
      <c r="M111" s="79" t="s">
        <v>10</v>
      </c>
      <c r="N111" s="79"/>
      <c r="O111" s="79"/>
      <c r="P111" s="79" t="s">
        <v>11</v>
      </c>
      <c r="Q111" s="79"/>
      <c r="R111" s="10" t="s">
        <v>9</v>
      </c>
      <c r="S111" s="10" t="s">
        <v>12</v>
      </c>
      <c r="T111" s="10" t="s">
        <v>13</v>
      </c>
      <c r="U111" s="80">
        <f ca="1">ROUNDDOWN(SUM(D113, G113, J113, M113, P113, R113, S112, T112), -1)</f>
        <v>3459050</v>
      </c>
      <c r="V111" s="80"/>
      <c r="W111" s="80"/>
      <c r="X111" s="63" t="s">
        <v>106</v>
      </c>
    </row>
    <row r="112" spans="1:24">
      <c r="A112" s="8" t="s">
        <v>1</v>
      </c>
      <c r="B112" s="17">
        <v>45720</v>
      </c>
      <c r="C112" s="10">
        <v>209</v>
      </c>
      <c r="D112" s="11">
        <v>10320</v>
      </c>
      <c r="E112" s="12">
        <v>0</v>
      </c>
      <c r="F112" s="12">
        <v>0</v>
      </c>
      <c r="G112" s="13">
        <v>7.5</v>
      </c>
      <c r="H112" s="13">
        <f>G112*365/84</f>
        <v>32.589285714285715</v>
      </c>
      <c r="I112" s="11">
        <f>B110 * 1.5</f>
        <v>15480</v>
      </c>
      <c r="J112" s="58">
        <v>9.5</v>
      </c>
      <c r="K112" s="10">
        <f>J112*365/84</f>
        <v>41.279761904761905</v>
      </c>
      <c r="L112" s="11">
        <f>B110 * 1.5</f>
        <v>15480</v>
      </c>
      <c r="M112" s="10"/>
      <c r="N112" s="10">
        <v>0</v>
      </c>
      <c r="O112" s="15">
        <f>B110*0.5</f>
        <v>5160</v>
      </c>
      <c r="P112" s="54">
        <f xml:space="preserve"> ROUND((D113 + G113 + J113 + M113) / 26, -1)</f>
        <v>126940</v>
      </c>
      <c r="Q112" s="10">
        <f ca="1">IF(DATEDIF(B112, EOMONTH(NOW(), 0), "Y") &lt; 1, 11, MIN(25, 15 + INT((DATEDIF(B112, EOMONTH(NOW(), 0), "Y") - 1) / 2)))</f>
        <v>15</v>
      </c>
      <c r="R112" s="16"/>
      <c r="S112" s="83"/>
      <c r="T112" s="83"/>
      <c r="U112" s="80"/>
      <c r="V112" s="80"/>
      <c r="W112" s="80"/>
    </row>
    <row r="113" spans="1:28">
      <c r="A113" s="18"/>
      <c r="B113" s="4" t="s">
        <v>17</v>
      </c>
      <c r="C113" s="10">
        <f>SUM(C112, H112*1.5, K112*1.5)</f>
        <v>319.80357142857144</v>
      </c>
      <c r="D113" s="80">
        <f>(D112 * 209)  + F112</f>
        <v>2156880</v>
      </c>
      <c r="E113" s="79"/>
      <c r="F113" s="79"/>
      <c r="G113" s="80">
        <f>H112 * I112</f>
        <v>504482.1428571429</v>
      </c>
      <c r="H113" s="79"/>
      <c r="I113" s="79"/>
      <c r="J113" s="80">
        <f>K112 * L112</f>
        <v>639010.71428571432</v>
      </c>
      <c r="K113" s="79"/>
      <c r="L113" s="79"/>
      <c r="M113" s="85">
        <f>N112*O112</f>
        <v>0</v>
      </c>
      <c r="N113" s="79"/>
      <c r="O113" s="79"/>
      <c r="P113" s="80">
        <f ca="1">ROUND((P112 * Q112) / 12, -1)</f>
        <v>158680</v>
      </c>
      <c r="Q113" s="80"/>
      <c r="R113" s="15">
        <f>B110*0.5*R112</f>
        <v>0</v>
      </c>
      <c r="S113" s="84"/>
      <c r="T113" s="84"/>
      <c r="U113" s="10" t="s">
        <v>19</v>
      </c>
      <c r="V113" s="87">
        <f>D113+F112+G113+L113+M113</f>
        <v>2661362.1428571427</v>
      </c>
      <c r="W113" s="88"/>
    </row>
    <row r="116" spans="1:28">
      <c r="A116" s="2" t="s">
        <v>96</v>
      </c>
      <c r="B116" s="20">
        <f>( (D118 * 209) + F118 ) / 209</f>
        <v>10559.234449760766</v>
      </c>
      <c r="C116" s="79" t="s">
        <v>3</v>
      </c>
      <c r="D116" s="79"/>
      <c r="E116" s="79"/>
      <c r="F116" s="79"/>
      <c r="G116" s="79" t="s">
        <v>14</v>
      </c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 t="s">
        <v>15</v>
      </c>
      <c r="S116" s="79"/>
      <c r="T116" s="79"/>
      <c r="U116" s="79" t="s">
        <v>18</v>
      </c>
      <c r="V116" s="79"/>
      <c r="W116" s="79"/>
    </row>
    <row r="117" spans="1:28">
      <c r="A117" s="9" t="s">
        <v>20</v>
      </c>
      <c r="B117" s="2" t="s">
        <v>108</v>
      </c>
      <c r="C117" s="79" t="s">
        <v>4</v>
      </c>
      <c r="D117" s="79"/>
      <c r="E117" s="10" t="s">
        <v>5</v>
      </c>
      <c r="F117" s="10" t="s">
        <v>6</v>
      </c>
      <c r="G117" s="79" t="s">
        <v>7</v>
      </c>
      <c r="H117" s="79"/>
      <c r="I117" s="79"/>
      <c r="J117" s="79" t="s">
        <v>8</v>
      </c>
      <c r="K117" s="79"/>
      <c r="L117" s="79"/>
      <c r="M117" s="79" t="s">
        <v>10</v>
      </c>
      <c r="N117" s="79"/>
      <c r="O117" s="79"/>
      <c r="P117" s="79" t="s">
        <v>11</v>
      </c>
      <c r="Q117" s="79"/>
      <c r="R117" s="10" t="s">
        <v>9</v>
      </c>
      <c r="S117" s="10" t="s">
        <v>12</v>
      </c>
      <c r="T117" s="10" t="s">
        <v>13</v>
      </c>
      <c r="U117" s="80">
        <f ca="1">ROUNDDOWN(SUM(D119, G119, J119, M119, P119, R119, S118, T118), -1)</f>
        <v>3208810</v>
      </c>
      <c r="V117" s="80"/>
      <c r="W117" s="80"/>
      <c r="X117" s="63" t="s">
        <v>109</v>
      </c>
    </row>
    <row r="118" spans="1:28">
      <c r="A118" s="9" t="s">
        <v>21</v>
      </c>
      <c r="B118" s="19">
        <v>45792</v>
      </c>
      <c r="C118" s="10">
        <v>209</v>
      </c>
      <c r="D118" s="11">
        <v>10320</v>
      </c>
      <c r="E118" s="21">
        <v>200000</v>
      </c>
      <c r="F118" s="21">
        <v>50000</v>
      </c>
      <c r="G118" s="13">
        <v>7.5</v>
      </c>
      <c r="H118" s="13">
        <f>G118*365/84</f>
        <v>32.589285714285715</v>
      </c>
      <c r="I118" s="11">
        <f>B116 * 1.5</f>
        <v>15838.85167464115</v>
      </c>
      <c r="J118" s="58">
        <v>4.75</v>
      </c>
      <c r="K118" s="10">
        <f>J118*365/84</f>
        <v>20.639880952380953</v>
      </c>
      <c r="L118" s="11">
        <f>B116 * 1.5</f>
        <v>15838.85167464115</v>
      </c>
      <c r="M118" s="10"/>
      <c r="N118" s="10">
        <v>0</v>
      </c>
      <c r="O118" s="15">
        <f>B116*0.5</f>
        <v>5279.6172248803832</v>
      </c>
      <c r="P118" s="54">
        <f xml:space="preserve"> ROUND((D119 + G119 + J119 + M119) / 24, -1)</f>
        <v>127080</v>
      </c>
      <c r="Q118" s="10">
        <f ca="1">IF(DATEDIF(B118, EOMONTH(NOW(), 0), "Y") &lt; 1, 11, MIN(25, 15 + INT((DATEDIF(B118, EOMONTH(NOW(), 0), "Y") - 1) / 2)))</f>
        <v>15</v>
      </c>
      <c r="R118" s="22"/>
      <c r="S118" s="89"/>
      <c r="T118" s="91"/>
      <c r="U118" s="80"/>
      <c r="V118" s="80"/>
      <c r="W118" s="80"/>
    </row>
    <row r="119" spans="1:28">
      <c r="A119" s="18">
        <f ca="1">U117/C119</f>
        <v>11109.155036243645</v>
      </c>
      <c r="B119" s="2" t="s">
        <v>110</v>
      </c>
      <c r="C119" s="10">
        <f>SUM(C118, H118*1.5, K118*1.5)</f>
        <v>288.84375</v>
      </c>
      <c r="D119" s="80">
        <f>(D118 * 209) +  F118</f>
        <v>2206880</v>
      </c>
      <c r="E119" s="79"/>
      <c r="F119" s="79"/>
      <c r="G119" s="80">
        <f>H118 * I118</f>
        <v>516176.86261107319</v>
      </c>
      <c r="H119" s="79"/>
      <c r="I119" s="79"/>
      <c r="J119" s="80">
        <f>K118 * L118</f>
        <v>326912.01298701303</v>
      </c>
      <c r="K119" s="79"/>
      <c r="L119" s="79"/>
      <c r="M119" s="85">
        <f>N118*O118</f>
        <v>0</v>
      </c>
      <c r="N119" s="79"/>
      <c r="O119" s="79"/>
      <c r="P119" s="80">
        <f ca="1">ROUND((P118 * Q118) / 12, -1)</f>
        <v>158850</v>
      </c>
      <c r="Q119" s="80"/>
      <c r="R119" s="15">
        <f>B116*0.5*R118</f>
        <v>0</v>
      </c>
      <c r="S119" s="90"/>
      <c r="T119" s="92"/>
      <c r="U119" s="10" t="s">
        <v>19</v>
      </c>
      <c r="V119" s="87">
        <f>D119+G119+J119+M119</f>
        <v>3049968.875598086</v>
      </c>
      <c r="W119" s="88"/>
    </row>
    <row r="122" spans="1:28">
      <c r="A122" s="2" t="s">
        <v>96</v>
      </c>
      <c r="B122" s="3">
        <f>( (D124 * 209) + F124 ) / 209</f>
        <v>10320</v>
      </c>
      <c r="C122" s="79" t="s">
        <v>3</v>
      </c>
      <c r="D122" s="79"/>
      <c r="E122" s="79"/>
      <c r="F122" s="79"/>
      <c r="G122" s="79" t="s">
        <v>14</v>
      </c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 t="s">
        <v>15</v>
      </c>
      <c r="S122" s="79"/>
      <c r="T122" s="79"/>
      <c r="U122" s="79" t="s">
        <v>18</v>
      </c>
      <c r="V122" s="79"/>
      <c r="W122" s="79"/>
    </row>
    <row r="123" spans="1:28">
      <c r="A123" s="8" t="s">
        <v>0</v>
      </c>
      <c r="B123" s="4" t="s">
        <v>111</v>
      </c>
      <c r="C123" s="79" t="s">
        <v>4</v>
      </c>
      <c r="D123" s="79"/>
      <c r="E123" s="10" t="s">
        <v>5</v>
      </c>
      <c r="F123" s="10" t="s">
        <v>6</v>
      </c>
      <c r="G123" s="79" t="s">
        <v>7</v>
      </c>
      <c r="H123" s="79"/>
      <c r="I123" s="79"/>
      <c r="J123" s="79" t="s">
        <v>8</v>
      </c>
      <c r="K123" s="79"/>
      <c r="L123" s="79"/>
      <c r="M123" s="79" t="s">
        <v>10</v>
      </c>
      <c r="N123" s="79"/>
      <c r="O123" s="79"/>
      <c r="P123" s="79" t="s">
        <v>11</v>
      </c>
      <c r="Q123" s="79"/>
      <c r="R123" s="10" t="s">
        <v>9</v>
      </c>
      <c r="S123" s="10" t="s">
        <v>12</v>
      </c>
      <c r="T123" s="10" t="s">
        <v>13</v>
      </c>
      <c r="U123" s="80">
        <f ca="1">ROUNDDOWN(SUM(D125, G125, J125, M125, P125, R125, S124, T124), -1)</f>
        <v>3459050</v>
      </c>
      <c r="V123" s="80"/>
      <c r="W123" s="80"/>
      <c r="X123" s="63" t="s">
        <v>112</v>
      </c>
      <c r="Z123" s="66" t="s">
        <v>113</v>
      </c>
      <c r="AA123" s="67"/>
      <c r="AB123" t="s">
        <v>115</v>
      </c>
    </row>
    <row r="124" spans="1:28">
      <c r="A124" s="8" t="s">
        <v>1</v>
      </c>
      <c r="B124" s="17">
        <v>45824</v>
      </c>
      <c r="C124" s="10">
        <v>209</v>
      </c>
      <c r="D124" s="11">
        <v>10320</v>
      </c>
      <c r="E124" s="12">
        <v>0</v>
      </c>
      <c r="F124" s="12">
        <v>0</v>
      </c>
      <c r="G124" s="13">
        <v>7.5</v>
      </c>
      <c r="H124" s="13">
        <f>G124*365/84</f>
        <v>32.589285714285715</v>
      </c>
      <c r="I124" s="11">
        <f>B122 * 1.5</f>
        <v>15480</v>
      </c>
      <c r="J124" s="58">
        <v>9.5</v>
      </c>
      <c r="K124" s="10">
        <f>J124*365/84</f>
        <v>41.279761904761905</v>
      </c>
      <c r="L124" s="11">
        <f>B122 * 1.5</f>
        <v>15480</v>
      </c>
      <c r="M124" s="10"/>
      <c r="N124" s="10">
        <v>0</v>
      </c>
      <c r="O124" s="15">
        <f>B122*0.5</f>
        <v>5160</v>
      </c>
      <c r="P124" s="54">
        <f xml:space="preserve"> ROUND((D125 + G125 + J125 + M125) / 26, -1)</f>
        <v>126940</v>
      </c>
      <c r="Q124" s="10">
        <f ca="1">IF(DATEDIF(B124, EOMONTH(NOW(), 0), "Y") &lt; 1, 11, MIN(25, 15 + INT((DATEDIF(B124, EOMONTH(NOW(), 0), "Y") - 1) / 2)))</f>
        <v>15</v>
      </c>
      <c r="R124" s="16"/>
      <c r="S124" s="83"/>
      <c r="T124" s="83"/>
      <c r="U124" s="80"/>
      <c r="V124" s="80"/>
      <c r="W124" s="80"/>
    </row>
    <row r="125" spans="1:28">
      <c r="A125" s="18"/>
      <c r="B125" s="4" t="s">
        <v>17</v>
      </c>
      <c r="C125" s="10">
        <f>SUM(C124, H124*1.5, K124*1.5)</f>
        <v>319.80357142857144</v>
      </c>
      <c r="D125" s="80">
        <f>(D124 * 209)  + F124</f>
        <v>2156880</v>
      </c>
      <c r="E125" s="79"/>
      <c r="F125" s="79"/>
      <c r="G125" s="80">
        <f>H124 * I124</f>
        <v>504482.1428571429</v>
      </c>
      <c r="H125" s="79"/>
      <c r="I125" s="79"/>
      <c r="J125" s="80">
        <f>K124 * L124</f>
        <v>639010.71428571432</v>
      </c>
      <c r="K125" s="79"/>
      <c r="L125" s="79"/>
      <c r="M125" s="85">
        <f>N124*O124</f>
        <v>0</v>
      </c>
      <c r="N125" s="79"/>
      <c r="O125" s="79"/>
      <c r="P125" s="80">
        <f ca="1">ROUND((P124 * Q124) / 12, -1)</f>
        <v>158680</v>
      </c>
      <c r="Q125" s="80"/>
      <c r="R125" s="15">
        <f>B122*0.5*R124</f>
        <v>0</v>
      </c>
      <c r="S125" s="84"/>
      <c r="T125" s="84"/>
      <c r="U125" s="10" t="s">
        <v>19</v>
      </c>
      <c r="V125" s="87">
        <f>D125+F124+G125+L125+M125</f>
        <v>2661362.1428571427</v>
      </c>
      <c r="W125" s="88"/>
    </row>
    <row r="128" spans="1:28">
      <c r="A128" s="2" t="s">
        <v>96</v>
      </c>
      <c r="B128" s="20">
        <f>( (D130 * 209) + F130 ) / 209</f>
        <v>10320</v>
      </c>
      <c r="C128" s="79" t="s">
        <v>3</v>
      </c>
      <c r="D128" s="79"/>
      <c r="E128" s="79"/>
      <c r="F128" s="79"/>
      <c r="G128" s="79" t="s">
        <v>14</v>
      </c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 t="s">
        <v>15</v>
      </c>
      <c r="S128" s="79"/>
      <c r="T128" s="79"/>
      <c r="U128" s="79" t="s">
        <v>18</v>
      </c>
      <c r="V128" s="79"/>
      <c r="W128" s="79"/>
    </row>
    <row r="129" spans="1:25">
      <c r="A129" s="9" t="s">
        <v>20</v>
      </c>
      <c r="B129" s="2" t="s">
        <v>114</v>
      </c>
      <c r="C129" s="79" t="s">
        <v>4</v>
      </c>
      <c r="D129" s="79"/>
      <c r="E129" s="10" t="s">
        <v>5</v>
      </c>
      <c r="F129" s="10" t="s">
        <v>6</v>
      </c>
      <c r="G129" s="79" t="s">
        <v>7</v>
      </c>
      <c r="H129" s="79"/>
      <c r="I129" s="79"/>
      <c r="J129" s="79" t="s">
        <v>8</v>
      </c>
      <c r="K129" s="79"/>
      <c r="L129" s="79"/>
      <c r="M129" s="79" t="s">
        <v>10</v>
      </c>
      <c r="N129" s="79"/>
      <c r="O129" s="79"/>
      <c r="P129" s="79" t="s">
        <v>11</v>
      </c>
      <c r="Q129" s="79"/>
      <c r="R129" s="10" t="s">
        <v>9</v>
      </c>
      <c r="S129" s="10" t="s">
        <v>12</v>
      </c>
      <c r="T129" s="10" t="s">
        <v>13</v>
      </c>
      <c r="U129" s="80">
        <f ca="1">ROUNDDOWN(SUM(D131, G131, J131, M131, P131, R131, S130, T130), -1)</f>
        <v>3094710</v>
      </c>
      <c r="V129" s="80"/>
      <c r="W129" s="80"/>
      <c r="Y129" s="63" t="s">
        <v>116</v>
      </c>
    </row>
    <row r="130" spans="1:25">
      <c r="A130" s="9" t="s">
        <v>21</v>
      </c>
      <c r="B130" s="19">
        <v>46024</v>
      </c>
      <c r="C130" s="10">
        <v>209</v>
      </c>
      <c r="D130" s="11">
        <v>10320</v>
      </c>
      <c r="E130" s="21"/>
      <c r="F130" s="21"/>
      <c r="G130" s="13">
        <v>7.5</v>
      </c>
      <c r="H130" s="13">
        <f>G130*365/84</f>
        <v>32.589285714285715</v>
      </c>
      <c r="I130" s="11">
        <f>B128 * 1.5</f>
        <v>15480</v>
      </c>
      <c r="J130" s="58">
        <v>4.75</v>
      </c>
      <c r="K130" s="10">
        <f>J130*365/84</f>
        <v>20.639880952380953</v>
      </c>
      <c r="L130" s="11">
        <f>B128 * 1.5</f>
        <v>15480</v>
      </c>
      <c r="M130" s="10"/>
      <c r="N130" s="10">
        <v>0</v>
      </c>
      <c r="O130" s="15">
        <f>B128*0.5</f>
        <v>5160</v>
      </c>
      <c r="P130" s="54">
        <f xml:space="preserve"> ROUND((D131 + G131 + J131 + M131) / 24, -1)</f>
        <v>124200</v>
      </c>
      <c r="Q130" s="10">
        <f ca="1">IF(DATEDIF(B130, EOMONTH(NOW(), 0), "Y") &lt; 1, 11, MIN(25, 15 + INT((DATEDIF(B130, EOMONTH(NOW(), 0), "Y") - 1) / 2)))</f>
        <v>11</v>
      </c>
      <c r="R130" s="22"/>
      <c r="S130" s="89"/>
      <c r="T130" s="91"/>
      <c r="U130" s="80"/>
      <c r="V130" s="80"/>
      <c r="W130" s="80"/>
    </row>
    <row r="131" spans="1:25">
      <c r="A131" s="18">
        <f ca="1">U129/C131</f>
        <v>10714.131775397598</v>
      </c>
      <c r="B131" s="2" t="s">
        <v>110</v>
      </c>
      <c r="C131" s="10">
        <f>SUM(C130, H130*1.5, K130*1.5)</f>
        <v>288.84375</v>
      </c>
      <c r="D131" s="80">
        <f>(D130 * 209) +  F130</f>
        <v>2156880</v>
      </c>
      <c r="E131" s="79"/>
      <c r="F131" s="79"/>
      <c r="G131" s="80">
        <f>H130 * I130</f>
        <v>504482.1428571429</v>
      </c>
      <c r="H131" s="79"/>
      <c r="I131" s="79"/>
      <c r="J131" s="80">
        <f>K130 * L130</f>
        <v>319505.35714285716</v>
      </c>
      <c r="K131" s="79"/>
      <c r="L131" s="79"/>
      <c r="M131" s="85">
        <f>N130*O130</f>
        <v>0</v>
      </c>
      <c r="N131" s="79"/>
      <c r="O131" s="79"/>
      <c r="P131" s="80">
        <f ca="1">ROUND((P130 * Q130) / 12, -1)</f>
        <v>113850</v>
      </c>
      <c r="Q131" s="80"/>
      <c r="R131" s="15">
        <f>B128*0.5*R130</f>
        <v>0</v>
      </c>
      <c r="S131" s="90"/>
      <c r="T131" s="92"/>
      <c r="U131" s="10" t="s">
        <v>19</v>
      </c>
      <c r="V131" s="87">
        <f>D131+G131+J131+M131</f>
        <v>2980867.5</v>
      </c>
      <c r="W131" s="88"/>
    </row>
    <row r="134" spans="1:25">
      <c r="A134" s="2" t="s">
        <v>96</v>
      </c>
      <c r="B134" s="20">
        <f>( (D136 * 209) + F136 ) / 209</f>
        <v>10320</v>
      </c>
      <c r="C134" s="79" t="s">
        <v>3</v>
      </c>
      <c r="D134" s="79"/>
      <c r="E134" s="79"/>
      <c r="F134" s="79"/>
      <c r="G134" s="79" t="s">
        <v>14</v>
      </c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 t="s">
        <v>15</v>
      </c>
      <c r="S134" s="79"/>
      <c r="T134" s="79"/>
      <c r="U134" s="79" t="s">
        <v>18</v>
      </c>
      <c r="V134" s="79"/>
      <c r="W134" s="79"/>
    </row>
    <row r="135" spans="1:25">
      <c r="A135" s="9" t="s">
        <v>20</v>
      </c>
      <c r="B135" s="2" t="s">
        <v>114</v>
      </c>
      <c r="C135" s="79" t="s">
        <v>4</v>
      </c>
      <c r="D135" s="79"/>
      <c r="E135" s="10" t="s">
        <v>5</v>
      </c>
      <c r="F135" s="10" t="s">
        <v>6</v>
      </c>
      <c r="G135" s="79" t="s">
        <v>7</v>
      </c>
      <c r="H135" s="79"/>
      <c r="I135" s="79"/>
      <c r="J135" s="79" t="s">
        <v>8</v>
      </c>
      <c r="K135" s="79"/>
      <c r="L135" s="79"/>
      <c r="M135" s="79" t="s">
        <v>10</v>
      </c>
      <c r="N135" s="79"/>
      <c r="O135" s="79"/>
      <c r="P135" s="79" t="s">
        <v>11</v>
      </c>
      <c r="Q135" s="79"/>
      <c r="R135" s="10" t="s">
        <v>9</v>
      </c>
      <c r="S135" s="10" t="s">
        <v>12</v>
      </c>
      <c r="T135" s="10" t="s">
        <v>13</v>
      </c>
      <c r="U135" s="80">
        <f>ROUNDDOWN(SUM(D137, G137, J137, M137, P137, R137, S136, T136), -1)</f>
        <v>2980860</v>
      </c>
      <c r="V135" s="80"/>
      <c r="W135" s="80"/>
    </row>
    <row r="136" spans="1:25">
      <c r="A136" s="9" t="s">
        <v>21</v>
      </c>
      <c r="B136" s="19">
        <v>46024</v>
      </c>
      <c r="C136" s="10">
        <v>209</v>
      </c>
      <c r="D136" s="11">
        <v>10320</v>
      </c>
      <c r="E136" s="21"/>
      <c r="F136" s="21"/>
      <c r="G136" s="13">
        <v>7.5</v>
      </c>
      <c r="H136" s="13">
        <f>G136*365/84</f>
        <v>32.589285714285715</v>
      </c>
      <c r="I136" s="11">
        <f>B134 * 1.5</f>
        <v>15480</v>
      </c>
      <c r="J136" s="58">
        <v>4.75</v>
      </c>
      <c r="K136" s="10">
        <f>J136*365/84</f>
        <v>20.639880952380953</v>
      </c>
      <c r="L136" s="11">
        <f>B134 * 1.5</f>
        <v>15480</v>
      </c>
      <c r="M136" s="10"/>
      <c r="N136" s="10">
        <v>0</v>
      </c>
      <c r="O136" s="15">
        <f>B134*0.5</f>
        <v>5160</v>
      </c>
      <c r="P136" s="54">
        <f xml:space="preserve"> ROUND((D137 + G137 + J137 + M137) / 24, -1)</f>
        <v>124200</v>
      </c>
      <c r="Q136" s="10"/>
      <c r="R136" s="22"/>
      <c r="S136" s="89"/>
      <c r="T136" s="91"/>
      <c r="U136" s="80"/>
      <c r="V136" s="80"/>
      <c r="W136" s="80"/>
    </row>
    <row r="137" spans="1:25">
      <c r="A137" s="18">
        <f>U135/C137</f>
        <v>10319.974034404415</v>
      </c>
      <c r="B137" s="2" t="s">
        <v>110</v>
      </c>
      <c r="C137" s="10">
        <f>SUM(C136, H136*1.5, K136*1.5)</f>
        <v>288.84375</v>
      </c>
      <c r="D137" s="80">
        <f>(D136 * 209) +  F136</f>
        <v>2156880</v>
      </c>
      <c r="E137" s="79"/>
      <c r="F137" s="79"/>
      <c r="G137" s="80">
        <f>H136 * I136</f>
        <v>504482.1428571429</v>
      </c>
      <c r="H137" s="79"/>
      <c r="I137" s="79"/>
      <c r="J137" s="80">
        <f>K136 * L136</f>
        <v>319505.35714285716</v>
      </c>
      <c r="K137" s="79"/>
      <c r="L137" s="79"/>
      <c r="M137" s="85">
        <f>N136*O136</f>
        <v>0</v>
      </c>
      <c r="N137" s="79"/>
      <c r="O137" s="79"/>
      <c r="P137" s="80">
        <f>ROUND((P136 * Q136) / 12, -1)</f>
        <v>0</v>
      </c>
      <c r="Q137" s="80"/>
      <c r="R137" s="15">
        <f>B134*0.5*R136</f>
        <v>0</v>
      </c>
      <c r="S137" s="90"/>
      <c r="T137" s="92"/>
      <c r="U137" s="10" t="s">
        <v>19</v>
      </c>
      <c r="V137" s="87">
        <f>D137+G137+J137+M137</f>
        <v>2980867.5</v>
      </c>
      <c r="W137" s="88"/>
    </row>
  </sheetData>
  <mergeCells count="418">
    <mergeCell ref="C1:F1"/>
    <mergeCell ref="G1:Q1"/>
    <mergeCell ref="R1:T1"/>
    <mergeCell ref="U1:W1"/>
    <mergeCell ref="X1:Y22"/>
    <mergeCell ref="C2:D2"/>
    <mergeCell ref="G2:I2"/>
    <mergeCell ref="J2:L2"/>
    <mergeCell ref="M2:O2"/>
    <mergeCell ref="P2:Q2"/>
    <mergeCell ref="U2:W3"/>
    <mergeCell ref="S3:S4"/>
    <mergeCell ref="T3:T4"/>
    <mergeCell ref="D4:F4"/>
    <mergeCell ref="G4:I4"/>
    <mergeCell ref="J4:L4"/>
    <mergeCell ref="M4:O4"/>
    <mergeCell ref="P4:Q4"/>
    <mergeCell ref="V4:W4"/>
    <mergeCell ref="A5:W6"/>
    <mergeCell ref="C7:F7"/>
    <mergeCell ref="G7:Q7"/>
    <mergeCell ref="R7:T7"/>
    <mergeCell ref="U7:W7"/>
    <mergeCell ref="C8:D8"/>
    <mergeCell ref="G8:I8"/>
    <mergeCell ref="J8:L8"/>
    <mergeCell ref="M8:O8"/>
    <mergeCell ref="P8:Q8"/>
    <mergeCell ref="U8:W9"/>
    <mergeCell ref="S9:S10"/>
    <mergeCell ref="T9:T10"/>
    <mergeCell ref="D10:F10"/>
    <mergeCell ref="G10:I10"/>
    <mergeCell ref="J10:L10"/>
    <mergeCell ref="M10:O10"/>
    <mergeCell ref="P10:Q10"/>
    <mergeCell ref="V10:W10"/>
    <mergeCell ref="A11:W12"/>
    <mergeCell ref="C13:F13"/>
    <mergeCell ref="G13:Q13"/>
    <mergeCell ref="R13:T13"/>
    <mergeCell ref="U13:W13"/>
    <mergeCell ref="C14:D14"/>
    <mergeCell ref="G14:I14"/>
    <mergeCell ref="J14:L14"/>
    <mergeCell ref="M14:O14"/>
    <mergeCell ref="P14:Q14"/>
    <mergeCell ref="U14:W15"/>
    <mergeCell ref="S15:S16"/>
    <mergeCell ref="T15:T16"/>
    <mergeCell ref="D16:F16"/>
    <mergeCell ref="G16:I16"/>
    <mergeCell ref="J16:L16"/>
    <mergeCell ref="M16:O16"/>
    <mergeCell ref="P16:Q16"/>
    <mergeCell ref="V16:W16"/>
    <mergeCell ref="A17:W18"/>
    <mergeCell ref="C19:F19"/>
    <mergeCell ref="G19:Q19"/>
    <mergeCell ref="R19:T19"/>
    <mergeCell ref="U19:W19"/>
    <mergeCell ref="C20:D20"/>
    <mergeCell ref="G20:I20"/>
    <mergeCell ref="J20:L20"/>
    <mergeCell ref="M20:O20"/>
    <mergeCell ref="P20:Q20"/>
    <mergeCell ref="U20:W21"/>
    <mergeCell ref="S21:S22"/>
    <mergeCell ref="T21:T22"/>
    <mergeCell ref="D22:F22"/>
    <mergeCell ref="G22:I22"/>
    <mergeCell ref="J22:L22"/>
    <mergeCell ref="M22:O22"/>
    <mergeCell ref="P22:Q22"/>
    <mergeCell ref="V22:W22"/>
    <mergeCell ref="C25:F25"/>
    <mergeCell ref="G25:Q25"/>
    <mergeCell ref="R25:T25"/>
    <mergeCell ref="U25:W25"/>
    <mergeCell ref="C26:D26"/>
    <mergeCell ref="G26:I26"/>
    <mergeCell ref="J26:L26"/>
    <mergeCell ref="M26:O26"/>
    <mergeCell ref="P26:Q26"/>
    <mergeCell ref="U26:W27"/>
    <mergeCell ref="V28:W28"/>
    <mergeCell ref="C31:F31"/>
    <mergeCell ref="G31:Q31"/>
    <mergeCell ref="R31:T31"/>
    <mergeCell ref="U31:W31"/>
    <mergeCell ref="C32:D32"/>
    <mergeCell ref="G32:I32"/>
    <mergeCell ref="J32:L32"/>
    <mergeCell ref="M32:O32"/>
    <mergeCell ref="P32:Q32"/>
    <mergeCell ref="S27:S28"/>
    <mergeCell ref="T27:T28"/>
    <mergeCell ref="D28:F28"/>
    <mergeCell ref="G28:I28"/>
    <mergeCell ref="J28:L28"/>
    <mergeCell ref="M28:O28"/>
    <mergeCell ref="P28:Q28"/>
    <mergeCell ref="U32:W33"/>
    <mergeCell ref="S33:S34"/>
    <mergeCell ref="T33:T34"/>
    <mergeCell ref="D34:F34"/>
    <mergeCell ref="G34:I34"/>
    <mergeCell ref="J34:L34"/>
    <mergeCell ref="M34:O34"/>
    <mergeCell ref="P34:Q34"/>
    <mergeCell ref="V34:W34"/>
    <mergeCell ref="C37:F37"/>
    <mergeCell ref="G37:Q37"/>
    <mergeCell ref="R37:T37"/>
    <mergeCell ref="U37:W37"/>
    <mergeCell ref="C38:D38"/>
    <mergeCell ref="G38:I38"/>
    <mergeCell ref="J38:L38"/>
    <mergeCell ref="M38:O38"/>
    <mergeCell ref="P38:Q38"/>
    <mergeCell ref="U38:W39"/>
    <mergeCell ref="V40:W40"/>
    <mergeCell ref="C43:F43"/>
    <mergeCell ref="G43:Q43"/>
    <mergeCell ref="R43:T43"/>
    <mergeCell ref="U43:W43"/>
    <mergeCell ref="C44:D44"/>
    <mergeCell ref="G44:I44"/>
    <mergeCell ref="J44:L44"/>
    <mergeCell ref="M44:O44"/>
    <mergeCell ref="P44:Q44"/>
    <mergeCell ref="S39:S40"/>
    <mergeCell ref="T39:T40"/>
    <mergeCell ref="D40:F40"/>
    <mergeCell ref="G40:I40"/>
    <mergeCell ref="J40:L40"/>
    <mergeCell ref="M40:O40"/>
    <mergeCell ref="P40:Q40"/>
    <mergeCell ref="U44:W45"/>
    <mergeCell ref="S45:S46"/>
    <mergeCell ref="T45:T46"/>
    <mergeCell ref="D46:F46"/>
    <mergeCell ref="G46:I46"/>
    <mergeCell ref="J46:L46"/>
    <mergeCell ref="M46:O46"/>
    <mergeCell ref="P46:Q46"/>
    <mergeCell ref="V46:W46"/>
    <mergeCell ref="C49:F49"/>
    <mergeCell ref="G49:Q49"/>
    <mergeCell ref="R49:T49"/>
    <mergeCell ref="U49:W49"/>
    <mergeCell ref="C50:D50"/>
    <mergeCell ref="G50:I50"/>
    <mergeCell ref="J50:L50"/>
    <mergeCell ref="M50:O50"/>
    <mergeCell ref="P50:Q50"/>
    <mergeCell ref="U50:W51"/>
    <mergeCell ref="V52:W52"/>
    <mergeCell ref="C55:F55"/>
    <mergeCell ref="G55:Q55"/>
    <mergeCell ref="R55:T55"/>
    <mergeCell ref="U55:W55"/>
    <mergeCell ref="C56:D56"/>
    <mergeCell ref="G56:I56"/>
    <mergeCell ref="J56:L56"/>
    <mergeCell ref="M56:O56"/>
    <mergeCell ref="P56:Q56"/>
    <mergeCell ref="S51:S52"/>
    <mergeCell ref="T51:T52"/>
    <mergeCell ref="D52:F52"/>
    <mergeCell ref="G52:I52"/>
    <mergeCell ref="J52:L52"/>
    <mergeCell ref="M52:O52"/>
    <mergeCell ref="P52:Q52"/>
    <mergeCell ref="U56:W57"/>
    <mergeCell ref="S57:S58"/>
    <mergeCell ref="T57:T58"/>
    <mergeCell ref="D58:F58"/>
    <mergeCell ref="G58:I58"/>
    <mergeCell ref="J58:L58"/>
    <mergeCell ref="M58:O58"/>
    <mergeCell ref="P58:Q58"/>
    <mergeCell ref="V58:W58"/>
    <mergeCell ref="C61:F61"/>
    <mergeCell ref="G61:Q61"/>
    <mergeCell ref="R61:T61"/>
    <mergeCell ref="U61:W61"/>
    <mergeCell ref="C62:D62"/>
    <mergeCell ref="G62:I62"/>
    <mergeCell ref="J62:L62"/>
    <mergeCell ref="M62:O62"/>
    <mergeCell ref="P62:Q62"/>
    <mergeCell ref="U62:W63"/>
    <mergeCell ref="V64:W64"/>
    <mergeCell ref="C67:F67"/>
    <mergeCell ref="G67:Q67"/>
    <mergeCell ref="R67:T67"/>
    <mergeCell ref="U67:W67"/>
    <mergeCell ref="C68:D68"/>
    <mergeCell ref="G68:I68"/>
    <mergeCell ref="J68:L68"/>
    <mergeCell ref="M68:O68"/>
    <mergeCell ref="P68:Q68"/>
    <mergeCell ref="S63:S64"/>
    <mergeCell ref="T63:T64"/>
    <mergeCell ref="D64:F64"/>
    <mergeCell ref="G64:I64"/>
    <mergeCell ref="J64:L64"/>
    <mergeCell ref="M64:O64"/>
    <mergeCell ref="P64:Q64"/>
    <mergeCell ref="U68:W69"/>
    <mergeCell ref="S69:S70"/>
    <mergeCell ref="T69:T70"/>
    <mergeCell ref="D70:F70"/>
    <mergeCell ref="G70:I70"/>
    <mergeCell ref="J70:L70"/>
    <mergeCell ref="M70:O70"/>
    <mergeCell ref="P70:Q70"/>
    <mergeCell ref="V70:W70"/>
    <mergeCell ref="C73:F73"/>
    <mergeCell ref="G73:Q73"/>
    <mergeCell ref="R73:T73"/>
    <mergeCell ref="U73:W73"/>
    <mergeCell ref="C74:D74"/>
    <mergeCell ref="G74:I74"/>
    <mergeCell ref="J74:L74"/>
    <mergeCell ref="M74:O74"/>
    <mergeCell ref="P74:Q74"/>
    <mergeCell ref="U74:W75"/>
    <mergeCell ref="V76:W76"/>
    <mergeCell ref="C80:F80"/>
    <mergeCell ref="G80:Q80"/>
    <mergeCell ref="R80:T80"/>
    <mergeCell ref="U80:W80"/>
    <mergeCell ref="C81:D81"/>
    <mergeCell ref="G81:I81"/>
    <mergeCell ref="J81:L81"/>
    <mergeCell ref="M81:O81"/>
    <mergeCell ref="P81:Q81"/>
    <mergeCell ref="S75:S76"/>
    <mergeCell ref="T75:T76"/>
    <mergeCell ref="D76:F76"/>
    <mergeCell ref="G76:I76"/>
    <mergeCell ref="J76:L76"/>
    <mergeCell ref="M76:O76"/>
    <mergeCell ref="P76:Q76"/>
    <mergeCell ref="U81:W82"/>
    <mergeCell ref="S82:S83"/>
    <mergeCell ref="T82:T83"/>
    <mergeCell ref="D83:F83"/>
    <mergeCell ref="G83:I83"/>
    <mergeCell ref="J83:L83"/>
    <mergeCell ref="M83:O83"/>
    <mergeCell ref="P83:Q83"/>
    <mergeCell ref="V83:W83"/>
    <mergeCell ref="V89:W89"/>
    <mergeCell ref="S88:S89"/>
    <mergeCell ref="T88:T89"/>
    <mergeCell ref="D89:F89"/>
    <mergeCell ref="G89:I89"/>
    <mergeCell ref="J89:L89"/>
    <mergeCell ref="M89:O89"/>
    <mergeCell ref="P89:Q89"/>
    <mergeCell ref="C86:F86"/>
    <mergeCell ref="G86:Q86"/>
    <mergeCell ref="R86:T86"/>
    <mergeCell ref="U86:W86"/>
    <mergeCell ref="C87:D87"/>
    <mergeCell ref="G87:I87"/>
    <mergeCell ref="J87:L87"/>
    <mergeCell ref="M87:O87"/>
    <mergeCell ref="P87:Q87"/>
    <mergeCell ref="U87:W88"/>
    <mergeCell ref="G92:Q92"/>
    <mergeCell ref="R92:T92"/>
    <mergeCell ref="U92:W92"/>
    <mergeCell ref="C93:D93"/>
    <mergeCell ref="G93:I93"/>
    <mergeCell ref="J93:L93"/>
    <mergeCell ref="M93:O93"/>
    <mergeCell ref="P93:Q93"/>
    <mergeCell ref="U93:W94"/>
    <mergeCell ref="S94:S95"/>
    <mergeCell ref="C92:F92"/>
    <mergeCell ref="V95:W95"/>
    <mergeCell ref="T94:T95"/>
    <mergeCell ref="D95:F95"/>
    <mergeCell ref="G95:I95"/>
    <mergeCell ref="J95:L95"/>
    <mergeCell ref="M95:O95"/>
    <mergeCell ref="P95:Q95"/>
    <mergeCell ref="C98:F98"/>
    <mergeCell ref="G98:Q98"/>
    <mergeCell ref="R98:T98"/>
    <mergeCell ref="U98:W98"/>
    <mergeCell ref="C99:D99"/>
    <mergeCell ref="G99:I99"/>
    <mergeCell ref="J99:L99"/>
    <mergeCell ref="M99:O99"/>
    <mergeCell ref="P99:Q99"/>
    <mergeCell ref="U99:W100"/>
    <mergeCell ref="S100:S101"/>
    <mergeCell ref="T100:T101"/>
    <mergeCell ref="D101:F101"/>
    <mergeCell ref="G101:I101"/>
    <mergeCell ref="J101:L101"/>
    <mergeCell ref="M101:O101"/>
    <mergeCell ref="P101:Q101"/>
    <mergeCell ref="V101:W101"/>
    <mergeCell ref="C104:F104"/>
    <mergeCell ref="G104:Q104"/>
    <mergeCell ref="R104:T104"/>
    <mergeCell ref="U104:W104"/>
    <mergeCell ref="C105:D105"/>
    <mergeCell ref="G105:I105"/>
    <mergeCell ref="J105:L105"/>
    <mergeCell ref="M105:O105"/>
    <mergeCell ref="P105:Q105"/>
    <mergeCell ref="U105:W106"/>
    <mergeCell ref="V107:W107"/>
    <mergeCell ref="C110:F110"/>
    <mergeCell ref="G110:Q110"/>
    <mergeCell ref="R110:T110"/>
    <mergeCell ref="U110:W110"/>
    <mergeCell ref="C111:D111"/>
    <mergeCell ref="G111:I111"/>
    <mergeCell ref="J111:L111"/>
    <mergeCell ref="M111:O111"/>
    <mergeCell ref="P111:Q111"/>
    <mergeCell ref="S106:S107"/>
    <mergeCell ref="T106:T107"/>
    <mergeCell ref="D107:F107"/>
    <mergeCell ref="G107:I107"/>
    <mergeCell ref="J107:L107"/>
    <mergeCell ref="M107:O107"/>
    <mergeCell ref="P107:Q107"/>
    <mergeCell ref="U111:W112"/>
    <mergeCell ref="S112:S113"/>
    <mergeCell ref="T112:T113"/>
    <mergeCell ref="D113:F113"/>
    <mergeCell ref="G113:I113"/>
    <mergeCell ref="J113:L113"/>
    <mergeCell ref="M113:O113"/>
    <mergeCell ref="P113:Q113"/>
    <mergeCell ref="V113:W113"/>
    <mergeCell ref="C116:F116"/>
    <mergeCell ref="G116:Q116"/>
    <mergeCell ref="R116:T116"/>
    <mergeCell ref="U116:W116"/>
    <mergeCell ref="C117:D117"/>
    <mergeCell ref="G117:I117"/>
    <mergeCell ref="J117:L117"/>
    <mergeCell ref="M117:O117"/>
    <mergeCell ref="P117:Q117"/>
    <mergeCell ref="U117:W118"/>
    <mergeCell ref="V119:W119"/>
    <mergeCell ref="C122:F122"/>
    <mergeCell ref="G122:Q122"/>
    <mergeCell ref="R122:T122"/>
    <mergeCell ref="U122:W122"/>
    <mergeCell ref="C123:D123"/>
    <mergeCell ref="G123:I123"/>
    <mergeCell ref="J123:L123"/>
    <mergeCell ref="M123:O123"/>
    <mergeCell ref="P123:Q123"/>
    <mergeCell ref="S118:S119"/>
    <mergeCell ref="T118:T119"/>
    <mergeCell ref="D119:F119"/>
    <mergeCell ref="G119:I119"/>
    <mergeCell ref="J119:L119"/>
    <mergeCell ref="M119:O119"/>
    <mergeCell ref="P119:Q119"/>
    <mergeCell ref="U123:W124"/>
    <mergeCell ref="S124:S125"/>
    <mergeCell ref="T124:T125"/>
    <mergeCell ref="D125:F125"/>
    <mergeCell ref="G125:I125"/>
    <mergeCell ref="J125:L125"/>
    <mergeCell ref="M125:O125"/>
    <mergeCell ref="P125:Q125"/>
    <mergeCell ref="V125:W125"/>
    <mergeCell ref="V131:W131"/>
    <mergeCell ref="S130:S131"/>
    <mergeCell ref="T130:T131"/>
    <mergeCell ref="D131:F131"/>
    <mergeCell ref="G131:I131"/>
    <mergeCell ref="J131:L131"/>
    <mergeCell ref="M131:O131"/>
    <mergeCell ref="P131:Q131"/>
    <mergeCell ref="C128:F128"/>
    <mergeCell ref="G128:Q128"/>
    <mergeCell ref="R128:T128"/>
    <mergeCell ref="U128:W128"/>
    <mergeCell ref="C129:D129"/>
    <mergeCell ref="G129:I129"/>
    <mergeCell ref="J129:L129"/>
    <mergeCell ref="M129:O129"/>
    <mergeCell ref="P129:Q129"/>
    <mergeCell ref="U129:W130"/>
    <mergeCell ref="C134:F134"/>
    <mergeCell ref="G134:Q134"/>
    <mergeCell ref="R134:T134"/>
    <mergeCell ref="U134:W134"/>
    <mergeCell ref="C135:D135"/>
    <mergeCell ref="G135:I135"/>
    <mergeCell ref="J135:L135"/>
    <mergeCell ref="M135:O135"/>
    <mergeCell ref="P135:Q135"/>
    <mergeCell ref="U135:W136"/>
    <mergeCell ref="S136:S137"/>
    <mergeCell ref="T136:T137"/>
    <mergeCell ref="D137:F137"/>
    <mergeCell ref="G137:I137"/>
    <mergeCell ref="J137:L137"/>
    <mergeCell ref="M137:O137"/>
    <mergeCell ref="P137:Q137"/>
    <mergeCell ref="V137:W137"/>
  </mergeCells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E137"/>
  <sheetViews>
    <sheetView topLeftCell="A106" zoomScale="85" zoomScaleNormal="85" workbookViewId="0">
      <selection activeCell="Y120" sqref="Y120"/>
    </sheetView>
  </sheetViews>
  <sheetFormatPr defaultRowHeight="16.5"/>
  <cols>
    <col min="1" max="1" width="16.125" bestFit="1" customWidth="1"/>
    <col min="2" max="2" width="11.875" customWidth="1"/>
    <col min="3" max="3" width="5.625" customWidth="1"/>
    <col min="4" max="4" width="8.875" customWidth="1"/>
    <col min="5" max="5" width="10.125" customWidth="1"/>
    <col min="6" max="6" width="10.5" customWidth="1"/>
    <col min="7" max="8" width="4.75" style="1" customWidth="1"/>
    <col min="9" max="9" width="9.375" bestFit="1" customWidth="1"/>
    <col min="10" max="10" width="4.875" style="59" customWidth="1"/>
    <col min="11" max="11" width="4.75" customWidth="1"/>
    <col min="12" max="12" width="9.375" bestFit="1" customWidth="1"/>
    <col min="13" max="14" width="4.625" customWidth="1"/>
    <col min="15" max="15" width="8.25" bestFit="1" customWidth="1"/>
    <col min="16" max="16" width="10.5" bestFit="1" customWidth="1"/>
    <col min="17" max="17" width="8.875" customWidth="1"/>
    <col min="18" max="18" width="12.75" customWidth="1"/>
    <col min="19" max="19" width="10.5" bestFit="1" customWidth="1"/>
    <col min="21" max="21" width="10.875" bestFit="1" customWidth="1"/>
    <col min="25" max="25" width="11.5" bestFit="1" customWidth="1"/>
  </cols>
  <sheetData>
    <row r="1" spans="1:25">
      <c r="A1" s="2" t="s">
        <v>16</v>
      </c>
      <c r="B1" s="3">
        <f>( (D3 * 209) + F3 ) / 209</f>
        <v>12473.110047846891</v>
      </c>
      <c r="C1" s="79" t="s">
        <v>3</v>
      </c>
      <c r="D1" s="79"/>
      <c r="E1" s="79"/>
      <c r="F1" s="79"/>
      <c r="G1" s="79" t="s">
        <v>14</v>
      </c>
      <c r="H1" s="79"/>
      <c r="I1" s="79"/>
      <c r="J1" s="79"/>
      <c r="K1" s="79"/>
      <c r="L1" s="79"/>
      <c r="M1" s="79"/>
      <c r="N1" s="79"/>
      <c r="O1" s="79"/>
      <c r="P1" s="79"/>
      <c r="Q1" s="79"/>
      <c r="R1" s="79" t="s">
        <v>15</v>
      </c>
      <c r="S1" s="79"/>
      <c r="T1" s="79"/>
      <c r="U1" s="79" t="s">
        <v>18</v>
      </c>
      <c r="V1" s="79"/>
      <c r="W1" s="79"/>
      <c r="X1" s="107"/>
      <c r="Y1" s="107"/>
    </row>
    <row r="2" spans="1:25">
      <c r="A2" s="8" t="s">
        <v>0</v>
      </c>
      <c r="B2" s="4" t="s">
        <v>87</v>
      </c>
      <c r="C2" s="79" t="s">
        <v>4</v>
      </c>
      <c r="D2" s="79"/>
      <c r="E2" s="10" t="s">
        <v>5</v>
      </c>
      <c r="F2" s="10" t="s">
        <v>6</v>
      </c>
      <c r="G2" s="79" t="s">
        <v>7</v>
      </c>
      <c r="H2" s="79"/>
      <c r="I2" s="79"/>
      <c r="J2" s="79" t="s">
        <v>8</v>
      </c>
      <c r="K2" s="79"/>
      <c r="L2" s="79"/>
      <c r="M2" s="79" t="s">
        <v>10</v>
      </c>
      <c r="N2" s="79"/>
      <c r="O2" s="79"/>
      <c r="P2" s="79" t="s">
        <v>11</v>
      </c>
      <c r="Q2" s="79"/>
      <c r="R2" s="10" t="s">
        <v>9</v>
      </c>
      <c r="S2" s="10" t="s">
        <v>12</v>
      </c>
      <c r="T2" s="10" t="s">
        <v>13</v>
      </c>
      <c r="U2" s="80">
        <f ca="1">ROUNDDOWN(SUM(D4, E3, G4, J4, M4, P4, R4, S3, T3), -1)</f>
        <v>4868510</v>
      </c>
      <c r="V2" s="80"/>
      <c r="W2" s="80"/>
      <c r="X2" s="107"/>
      <c r="Y2" s="107"/>
    </row>
    <row r="3" spans="1:25">
      <c r="A3" s="8" t="s">
        <v>1</v>
      </c>
      <c r="B3" s="17">
        <v>44986</v>
      </c>
      <c r="C3" s="10">
        <v>209</v>
      </c>
      <c r="D3" s="11">
        <v>10320</v>
      </c>
      <c r="E3" s="12">
        <v>200000</v>
      </c>
      <c r="F3" s="12">
        <v>450000</v>
      </c>
      <c r="G3" s="13">
        <v>7.5</v>
      </c>
      <c r="H3" s="13">
        <f>G3*365/84</f>
        <v>32.589285714285715</v>
      </c>
      <c r="I3" s="11">
        <f>B1 * 1.5</f>
        <v>18709.665071770338</v>
      </c>
      <c r="J3" s="58">
        <v>9.5</v>
      </c>
      <c r="K3" s="10">
        <f>J3*365/84</f>
        <v>41.279761904761905</v>
      </c>
      <c r="L3" s="11">
        <f>B1 * 1.5</f>
        <v>18709.665071770338</v>
      </c>
      <c r="M3" s="10"/>
      <c r="N3" s="10">
        <v>0</v>
      </c>
      <c r="O3" s="15">
        <f>B1*0.5</f>
        <v>6236.5550239234453</v>
      </c>
      <c r="P3" s="54">
        <f>B1 * 12</f>
        <v>149677.3205741627</v>
      </c>
      <c r="Q3" s="10">
        <f ca="1">IF(DATEDIF(B3, EOMONTH(NOW(), 0), "Y") &lt; 1, 11, MIN(25, 15 + INT((DATEDIF(B3, EOMONTH(NOW(), 0), "Y") - 1) / 2)))</f>
        <v>16</v>
      </c>
      <c r="R3" s="16"/>
      <c r="S3" s="81">
        <v>480000</v>
      </c>
      <c r="T3" s="83"/>
      <c r="U3" s="80"/>
      <c r="V3" s="80"/>
      <c r="W3" s="80"/>
      <c r="X3" s="107"/>
      <c r="Y3" s="107"/>
    </row>
    <row r="4" spans="1:25">
      <c r="A4" s="18">
        <f ca="1">U2/C4</f>
        <v>15223.438494611646</v>
      </c>
      <c r="B4" s="4" t="s">
        <v>86</v>
      </c>
      <c r="C4" s="10">
        <f>SUM(C3, H3*1.5, K3*1.5)</f>
        <v>319.80357142857144</v>
      </c>
      <c r="D4" s="80">
        <f>(D3 * 209) + F3</f>
        <v>2606880</v>
      </c>
      <c r="E4" s="79"/>
      <c r="F4" s="79"/>
      <c r="G4" s="80">
        <f>H3 * I3</f>
        <v>609734.62064251548</v>
      </c>
      <c r="H4" s="79"/>
      <c r="I4" s="79"/>
      <c r="J4" s="80">
        <f>K3 * L3</f>
        <v>772330.51948051958</v>
      </c>
      <c r="K4" s="79"/>
      <c r="L4" s="79"/>
      <c r="M4" s="85">
        <f>N3*O3</f>
        <v>0</v>
      </c>
      <c r="N4" s="79"/>
      <c r="O4" s="79"/>
      <c r="P4" s="80">
        <f ca="1">ROUND((P3 * Q3) / 12, -1)</f>
        <v>199570</v>
      </c>
      <c r="Q4" s="80"/>
      <c r="R4" s="15">
        <f>B1*0.5*R3</f>
        <v>0</v>
      </c>
      <c r="S4" s="82"/>
      <c r="T4" s="84"/>
      <c r="U4" s="10" t="s">
        <v>19</v>
      </c>
      <c r="V4" s="87">
        <f ca="1">D4+G4+L4+M4+P4</f>
        <v>3416184.6206425154</v>
      </c>
      <c r="W4" s="88"/>
      <c r="X4" s="107"/>
      <c r="Y4" s="107"/>
    </row>
    <row r="5" spans="1:25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</row>
    <row r="6" spans="1:25">
      <c r="A6" s="107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</row>
    <row r="7" spans="1:25">
      <c r="A7" s="2" t="s">
        <v>16</v>
      </c>
      <c r="B7" s="3">
        <f>( (D9 * 209) + F9 ) / 209</f>
        <v>10559.234449760766</v>
      </c>
      <c r="C7" s="79" t="s">
        <v>3</v>
      </c>
      <c r="D7" s="79"/>
      <c r="E7" s="79"/>
      <c r="F7" s="79"/>
      <c r="G7" s="79" t="s">
        <v>14</v>
      </c>
      <c r="H7" s="79"/>
      <c r="I7" s="79"/>
      <c r="J7" s="79"/>
      <c r="K7" s="79"/>
      <c r="L7" s="79"/>
      <c r="M7" s="79"/>
      <c r="N7" s="79"/>
      <c r="O7" s="79"/>
      <c r="P7" s="79"/>
      <c r="Q7" s="79"/>
      <c r="R7" s="79" t="s">
        <v>15</v>
      </c>
      <c r="S7" s="79"/>
      <c r="T7" s="79"/>
      <c r="U7" s="79" t="s">
        <v>18</v>
      </c>
      <c r="V7" s="79"/>
      <c r="W7" s="79"/>
      <c r="X7" s="107"/>
      <c r="Y7" s="107"/>
    </row>
    <row r="8" spans="1:25">
      <c r="A8" s="8" t="s">
        <v>0</v>
      </c>
      <c r="B8" s="4" t="s">
        <v>2</v>
      </c>
      <c r="C8" s="79" t="s">
        <v>4</v>
      </c>
      <c r="D8" s="79"/>
      <c r="E8" s="10" t="s">
        <v>5</v>
      </c>
      <c r="F8" s="10" t="s">
        <v>6</v>
      </c>
      <c r="G8" s="79" t="s">
        <v>7</v>
      </c>
      <c r="H8" s="79"/>
      <c r="I8" s="79"/>
      <c r="J8" s="79" t="s">
        <v>8</v>
      </c>
      <c r="K8" s="79"/>
      <c r="L8" s="79"/>
      <c r="M8" s="79" t="s">
        <v>10</v>
      </c>
      <c r="N8" s="79"/>
      <c r="O8" s="79"/>
      <c r="P8" s="79" t="s">
        <v>11</v>
      </c>
      <c r="Q8" s="79"/>
      <c r="R8" s="10" t="s">
        <v>9</v>
      </c>
      <c r="S8" s="10" t="s">
        <v>12</v>
      </c>
      <c r="T8" s="10" t="s">
        <v>13</v>
      </c>
      <c r="U8" s="80">
        <f ca="1">ROUNDDOWN(SUM(D10, E9, G10, J10, M10, P10, R10, S9, T9), -1)</f>
        <v>3622270</v>
      </c>
      <c r="V8" s="80"/>
      <c r="W8" s="80"/>
      <c r="X8" s="107"/>
      <c r="Y8" s="107"/>
    </row>
    <row r="9" spans="1:25">
      <c r="A9" s="8" t="s">
        <v>1</v>
      </c>
      <c r="B9" s="17">
        <v>45663</v>
      </c>
      <c r="C9" s="10">
        <v>209</v>
      </c>
      <c r="D9" s="11">
        <v>10320</v>
      </c>
      <c r="E9" s="12"/>
      <c r="F9" s="12">
        <v>50000</v>
      </c>
      <c r="G9" s="13">
        <v>7.5</v>
      </c>
      <c r="H9" s="13">
        <f>G9*365/84</f>
        <v>32.589285714285715</v>
      </c>
      <c r="I9" s="11">
        <f>B7 * 1.5</f>
        <v>15838.85167464115</v>
      </c>
      <c r="J9" s="58">
        <v>9.5</v>
      </c>
      <c r="K9" s="10">
        <f>J9*365/84</f>
        <v>41.279761904761905</v>
      </c>
      <c r="L9" s="11">
        <f>B7 * 1.5</f>
        <v>15838.85167464115</v>
      </c>
      <c r="M9" s="10"/>
      <c r="N9" s="10">
        <v>0</v>
      </c>
      <c r="O9" s="15">
        <f>B7*0.5</f>
        <v>5279.6172248803832</v>
      </c>
      <c r="P9" s="54">
        <f>B7 * 12</f>
        <v>126710.8133971292</v>
      </c>
      <c r="Q9" s="10">
        <f ca="1">IF(DATEDIF(B9, EOMONTH(NOW(), 0), "Y") &lt; 1, 11, MIN(25, 15 + INT((DATEDIF(B9, EOMONTH(NOW(), 0), "Y") - 1) / 2)))</f>
        <v>15</v>
      </c>
      <c r="R9" s="16"/>
      <c r="S9" s="83">
        <v>87000</v>
      </c>
      <c r="T9" s="83"/>
      <c r="U9" s="80"/>
      <c r="V9" s="80"/>
      <c r="W9" s="80"/>
      <c r="X9" s="107"/>
      <c r="Y9" s="107"/>
    </row>
    <row r="10" spans="1:25">
      <c r="A10" s="18">
        <f ca="1">U8/C10</f>
        <v>11326.54642916969</v>
      </c>
      <c r="B10" s="4" t="s">
        <v>17</v>
      </c>
      <c r="C10" s="10">
        <f>SUM(C9, H9*1.5, K9*1.5)</f>
        <v>319.80357142857144</v>
      </c>
      <c r="D10" s="80">
        <f>(D9 * 209)  + F9</f>
        <v>2206880</v>
      </c>
      <c r="E10" s="79"/>
      <c r="F10" s="79"/>
      <c r="G10" s="80">
        <f>H9 * I9</f>
        <v>516176.86261107319</v>
      </c>
      <c r="H10" s="79"/>
      <c r="I10" s="79"/>
      <c r="J10" s="80">
        <f>K9 * L9</f>
        <v>653824.02597402607</v>
      </c>
      <c r="K10" s="79"/>
      <c r="L10" s="79"/>
      <c r="M10" s="85">
        <f>N9*O9</f>
        <v>0</v>
      </c>
      <c r="N10" s="79"/>
      <c r="O10" s="79"/>
      <c r="P10" s="80">
        <f ca="1">ROUND((P9 * Q9) / 12, -1)</f>
        <v>158390</v>
      </c>
      <c r="Q10" s="80"/>
      <c r="R10" s="15">
        <f>B7*0.5*R9</f>
        <v>0</v>
      </c>
      <c r="S10" s="84"/>
      <c r="T10" s="84"/>
      <c r="U10" s="10" t="s">
        <v>19</v>
      </c>
      <c r="V10" s="87">
        <f>D10+F9+G10+L10+M10</f>
        <v>2773056.8626110731</v>
      </c>
      <c r="W10" s="88"/>
      <c r="X10" s="107"/>
      <c r="Y10" s="107"/>
    </row>
    <row r="11" spans="1:25">
      <c r="A11" s="107"/>
      <c r="B11" s="107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</row>
    <row r="12" spans="1:25">
      <c r="A12" s="107"/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</row>
    <row r="13" spans="1:25">
      <c r="A13" s="2" t="s">
        <v>16</v>
      </c>
      <c r="B13" s="20">
        <f>( (D15 * 209) + F15 ) / 209</f>
        <v>10463.54066985646</v>
      </c>
      <c r="C13" s="79" t="s">
        <v>3</v>
      </c>
      <c r="D13" s="79"/>
      <c r="E13" s="79"/>
      <c r="F13" s="79"/>
      <c r="G13" s="79" t="s">
        <v>14</v>
      </c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 t="s">
        <v>15</v>
      </c>
      <c r="S13" s="79"/>
      <c r="T13" s="79"/>
      <c r="U13" s="79" t="s">
        <v>18</v>
      </c>
      <c r="V13" s="79"/>
      <c r="W13" s="79"/>
      <c r="X13" s="107"/>
      <c r="Y13" s="107"/>
    </row>
    <row r="14" spans="1:25">
      <c r="A14" s="9" t="s">
        <v>20</v>
      </c>
      <c r="B14" s="2" t="s">
        <v>24</v>
      </c>
      <c r="C14" s="79" t="s">
        <v>4</v>
      </c>
      <c r="D14" s="79"/>
      <c r="E14" s="10" t="s">
        <v>5</v>
      </c>
      <c r="F14" s="10" t="s">
        <v>6</v>
      </c>
      <c r="G14" s="79" t="s">
        <v>7</v>
      </c>
      <c r="H14" s="79"/>
      <c r="I14" s="79"/>
      <c r="J14" s="79" t="s">
        <v>8</v>
      </c>
      <c r="K14" s="79"/>
      <c r="L14" s="79"/>
      <c r="M14" s="79" t="s">
        <v>10</v>
      </c>
      <c r="N14" s="79"/>
      <c r="O14" s="79"/>
      <c r="P14" s="79" t="s">
        <v>11</v>
      </c>
      <c r="Q14" s="79"/>
      <c r="R14" s="10" t="s">
        <v>9</v>
      </c>
      <c r="S14" s="10" t="s">
        <v>12</v>
      </c>
      <c r="T14" s="10" t="s">
        <v>13</v>
      </c>
      <c r="U14" s="80">
        <f ca="1">ROUNDDOWN(SUM(D16, E15, G16, J16, M16, P16, R16, S15, T15), -1)</f>
        <v>3250000</v>
      </c>
      <c r="V14" s="80"/>
      <c r="W14" s="80"/>
      <c r="X14" s="107"/>
      <c r="Y14" s="107"/>
    </row>
    <row r="15" spans="1:25">
      <c r="A15" s="9" t="s">
        <v>21</v>
      </c>
      <c r="B15" s="19">
        <v>45663</v>
      </c>
      <c r="C15" s="10">
        <v>209</v>
      </c>
      <c r="D15" s="11">
        <v>10320</v>
      </c>
      <c r="E15" s="21"/>
      <c r="F15" s="21">
        <v>30000</v>
      </c>
      <c r="G15" s="13">
        <v>7.5</v>
      </c>
      <c r="H15" s="13">
        <f>G15*365/84</f>
        <v>32.589285714285715</v>
      </c>
      <c r="I15" s="11">
        <f>B13 * 1.5</f>
        <v>15695.311004784689</v>
      </c>
      <c r="J15" s="58">
        <v>4.75</v>
      </c>
      <c r="K15" s="10">
        <f>J15*365/84</f>
        <v>20.639880952380953</v>
      </c>
      <c r="L15" s="11">
        <f>B13 * 1.5</f>
        <v>15695.311004784689</v>
      </c>
      <c r="M15" s="10"/>
      <c r="N15" s="10">
        <v>0</v>
      </c>
      <c r="O15" s="15">
        <f>B13*0.5</f>
        <v>5231.7703349282301</v>
      </c>
      <c r="P15" s="54">
        <f>B13 * 12</f>
        <v>125562.48803827752</v>
      </c>
      <c r="Q15" s="10">
        <f ca="1">IF(DATEDIF(B15, EOMONTH(NOW(), 0), "Y") &lt; 1, 11, MIN(25, 15 + INT((DATEDIF(B15, EOMONTH(NOW(), 0), "Y") - 1) / 2)))</f>
        <v>15</v>
      </c>
      <c r="R15" s="22"/>
      <c r="S15" s="89">
        <v>70722</v>
      </c>
      <c r="T15" s="91"/>
      <c r="U15" s="80"/>
      <c r="V15" s="80"/>
      <c r="W15" s="80"/>
      <c r="X15" s="107"/>
      <c r="Y15" s="107"/>
    </row>
    <row r="16" spans="1:25">
      <c r="A16" s="18">
        <f ca="1">U14/C16</f>
        <v>11251.758087201126</v>
      </c>
      <c r="B16" s="2" t="s">
        <v>25</v>
      </c>
      <c r="C16" s="10">
        <f>SUM(C15, H15*1.5, K15*1.5)</f>
        <v>288.84375</v>
      </c>
      <c r="D16" s="80">
        <f>(D15 * 209)  + F15</f>
        <v>2186880</v>
      </c>
      <c r="E16" s="79"/>
      <c r="F16" s="79"/>
      <c r="G16" s="80">
        <f>H15 * I15</f>
        <v>511498.97470950108</v>
      </c>
      <c r="H16" s="79"/>
      <c r="I16" s="79"/>
      <c r="J16" s="80">
        <f>K15 * L15</f>
        <v>323949.35064935067</v>
      </c>
      <c r="K16" s="79"/>
      <c r="L16" s="79"/>
      <c r="M16" s="85">
        <f>N15*O15</f>
        <v>0</v>
      </c>
      <c r="N16" s="79"/>
      <c r="O16" s="79"/>
      <c r="P16" s="80">
        <f ca="1">ROUND((P15 * Q15) / 12, -1)</f>
        <v>156950</v>
      </c>
      <c r="Q16" s="80"/>
      <c r="R16" s="15">
        <f>B13*0.5*R15</f>
        <v>0</v>
      </c>
      <c r="S16" s="90"/>
      <c r="T16" s="92"/>
      <c r="U16" s="10" t="s">
        <v>19</v>
      </c>
      <c r="V16" s="87">
        <f>D16+F15+G16+L16+M16</f>
        <v>2728378.974709501</v>
      </c>
      <c r="W16" s="88"/>
      <c r="X16" s="107"/>
      <c r="Y16" s="107"/>
    </row>
    <row r="17" spans="1:25">
      <c r="A17" s="107"/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</row>
    <row r="18" spans="1:25">
      <c r="A18" s="107"/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</row>
    <row r="19" spans="1:25">
      <c r="A19" s="2" t="s">
        <v>16</v>
      </c>
      <c r="B19" s="3">
        <f>( (D21 * 209) + F21 ) / 209</f>
        <v>11085.55023923445</v>
      </c>
      <c r="C19" s="79" t="s">
        <v>3</v>
      </c>
      <c r="D19" s="79"/>
      <c r="E19" s="79"/>
      <c r="F19" s="79"/>
      <c r="G19" s="79" t="s">
        <v>14</v>
      </c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 t="s">
        <v>15</v>
      </c>
      <c r="S19" s="79"/>
      <c r="T19" s="79"/>
      <c r="U19" s="79" t="s">
        <v>18</v>
      </c>
      <c r="V19" s="79"/>
      <c r="W19" s="79"/>
      <c r="X19" s="107"/>
      <c r="Y19" s="107"/>
    </row>
    <row r="20" spans="1:25">
      <c r="A20" s="7" t="s">
        <v>22</v>
      </c>
      <c r="B20" s="2" t="s">
        <v>84</v>
      </c>
      <c r="C20" s="79" t="s">
        <v>4</v>
      </c>
      <c r="D20" s="79"/>
      <c r="E20" s="10" t="s">
        <v>5</v>
      </c>
      <c r="F20" s="10" t="s">
        <v>6</v>
      </c>
      <c r="G20" s="79" t="s">
        <v>7</v>
      </c>
      <c r="H20" s="79"/>
      <c r="I20" s="79"/>
      <c r="J20" s="79" t="s">
        <v>8</v>
      </c>
      <c r="K20" s="79"/>
      <c r="L20" s="79"/>
      <c r="M20" s="79" t="s">
        <v>10</v>
      </c>
      <c r="N20" s="79"/>
      <c r="O20" s="79"/>
      <c r="P20" s="79" t="s">
        <v>11</v>
      </c>
      <c r="Q20" s="79"/>
      <c r="R20" s="10" t="s">
        <v>9</v>
      </c>
      <c r="S20" s="10" t="s">
        <v>12</v>
      </c>
      <c r="T20" s="10" t="s">
        <v>13</v>
      </c>
      <c r="U20" s="80">
        <f ca="1">ROUNDDOWN(SUM(D22, E21, G22, J22, M22, P22, R22, S21, T21), -1)</f>
        <v>3264080</v>
      </c>
      <c r="V20" s="80"/>
      <c r="W20" s="80"/>
      <c r="X20" s="107"/>
      <c r="Y20" s="107"/>
    </row>
    <row r="21" spans="1:25">
      <c r="A21" s="7" t="s">
        <v>23</v>
      </c>
      <c r="B21" s="19">
        <v>44418</v>
      </c>
      <c r="C21" s="10">
        <v>209</v>
      </c>
      <c r="D21" s="11">
        <v>10320</v>
      </c>
      <c r="E21" s="12"/>
      <c r="F21" s="12">
        <v>160000</v>
      </c>
      <c r="G21" s="13">
        <v>7.5</v>
      </c>
      <c r="H21" s="13">
        <f>G21*365/84</f>
        <v>32.589285714285715</v>
      </c>
      <c r="I21" s="11">
        <f>B19 * 1.5</f>
        <v>16628.325358851675</v>
      </c>
      <c r="J21" s="58"/>
      <c r="K21" s="10">
        <f>J21*365/84</f>
        <v>0</v>
      </c>
      <c r="L21" s="11">
        <f>B19 * 1.5</f>
        <v>16628.325358851675</v>
      </c>
      <c r="M21" s="10"/>
      <c r="N21" s="10">
        <v>0</v>
      </c>
      <c r="O21" s="15">
        <f>B19*0.5</f>
        <v>5542.7751196172248</v>
      </c>
      <c r="P21" s="54">
        <f>B19 * 12</f>
        <v>133026.6028708134</v>
      </c>
      <c r="Q21" s="10">
        <f ca="1">IF(DATEDIF(B21, EOMONTH(NOW(), 0), "Y") &lt; 1, 11, MIN(25, 15 + INT((DATEDIF(B21, EOMONTH(NOW(), 0), "Y") - 1) / 2)))</f>
        <v>17</v>
      </c>
      <c r="R21" s="16"/>
      <c r="S21" s="81">
        <v>216850</v>
      </c>
      <c r="T21" s="83"/>
      <c r="U21" s="80"/>
      <c r="V21" s="80"/>
      <c r="W21" s="80"/>
      <c r="X21" s="107"/>
      <c r="Y21" s="107"/>
    </row>
    <row r="22" spans="1:25">
      <c r="A22" s="5">
        <f ca="1">U20/C22</f>
        <v>12657.167191773709</v>
      </c>
      <c r="B22" s="2" t="s">
        <v>85</v>
      </c>
      <c r="C22" s="10">
        <f>SUM(C21, H21*1.5, K21*1.5)</f>
        <v>257.88392857142856</v>
      </c>
      <c r="D22" s="80">
        <f>(D21 * 209)  + F21</f>
        <v>2316880</v>
      </c>
      <c r="E22" s="79"/>
      <c r="F22" s="79"/>
      <c r="G22" s="80">
        <f>H21 * I21</f>
        <v>541905.24606971978</v>
      </c>
      <c r="H22" s="79"/>
      <c r="I22" s="79"/>
      <c r="J22" s="80">
        <f>K21 * L21</f>
        <v>0</v>
      </c>
      <c r="K22" s="79"/>
      <c r="L22" s="79"/>
      <c r="M22" s="85">
        <f>N21*O21</f>
        <v>0</v>
      </c>
      <c r="N22" s="79"/>
      <c r="O22" s="79"/>
      <c r="P22" s="80">
        <f ca="1">ROUND((P21 * Q21) / 12, -1)</f>
        <v>188450</v>
      </c>
      <c r="Q22" s="80"/>
      <c r="R22" s="15">
        <f>B19*0.5*R21</f>
        <v>0</v>
      </c>
      <c r="S22" s="82"/>
      <c r="T22" s="84"/>
      <c r="U22" s="10" t="s">
        <v>19</v>
      </c>
      <c r="V22" s="87">
        <f>D22+F21+G22+L22+M22</f>
        <v>3018785.24606972</v>
      </c>
      <c r="W22" s="88"/>
      <c r="X22" s="107"/>
      <c r="Y22" s="107"/>
    </row>
    <row r="25" spans="1:25">
      <c r="A25" s="2" t="s">
        <v>16</v>
      </c>
      <c r="B25" s="3">
        <f>( (D27 * 209) + F27 ) / 209</f>
        <v>10320</v>
      </c>
      <c r="C25" s="79" t="s">
        <v>3</v>
      </c>
      <c r="D25" s="79"/>
      <c r="E25" s="79"/>
      <c r="F25" s="79"/>
      <c r="G25" s="79" t="s">
        <v>14</v>
      </c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 t="s">
        <v>15</v>
      </c>
      <c r="S25" s="79"/>
      <c r="T25" s="79"/>
      <c r="U25" s="79" t="s">
        <v>18</v>
      </c>
      <c r="V25" s="79"/>
      <c r="W25" s="79"/>
    </row>
    <row r="26" spans="1:25">
      <c r="A26" s="8" t="s">
        <v>0</v>
      </c>
      <c r="B26" s="4" t="s">
        <v>2</v>
      </c>
      <c r="C26" s="79" t="s">
        <v>4</v>
      </c>
      <c r="D26" s="79"/>
      <c r="E26" s="10" t="s">
        <v>5</v>
      </c>
      <c r="F26" s="10" t="s">
        <v>6</v>
      </c>
      <c r="G26" s="79" t="s">
        <v>7</v>
      </c>
      <c r="H26" s="79"/>
      <c r="I26" s="79"/>
      <c r="J26" s="79" t="s">
        <v>8</v>
      </c>
      <c r="K26" s="79"/>
      <c r="L26" s="79"/>
      <c r="M26" s="79" t="s">
        <v>10</v>
      </c>
      <c r="N26" s="79"/>
      <c r="O26" s="79"/>
      <c r="P26" s="79" t="s">
        <v>11</v>
      </c>
      <c r="Q26" s="79"/>
      <c r="R26" s="10" t="s">
        <v>9</v>
      </c>
      <c r="S26" s="10" t="s">
        <v>12</v>
      </c>
      <c r="T26" s="10" t="s">
        <v>13</v>
      </c>
      <c r="U26" s="80">
        <f ca="1">ROUNDDOWN(SUM(D28, E27, G28, J28, M28, P28, R28, S27, T27), -1)</f>
        <v>3413890</v>
      </c>
      <c r="V26" s="80"/>
      <c r="W26" s="80"/>
    </row>
    <row r="27" spans="1:25">
      <c r="A27" s="8" t="s">
        <v>1</v>
      </c>
      <c r="B27" s="17">
        <v>46132</v>
      </c>
      <c r="C27" s="10">
        <v>209</v>
      </c>
      <c r="D27" s="11">
        <v>10320</v>
      </c>
      <c r="E27" s="12"/>
      <c r="F27" s="12"/>
      <c r="G27" s="13">
        <v>7.5</v>
      </c>
      <c r="H27" s="13">
        <f>G27*365/84</f>
        <v>32.589285714285715</v>
      </c>
      <c r="I27" s="11">
        <f>B25 * 1.5</f>
        <v>15480</v>
      </c>
      <c r="J27" s="58">
        <v>9.5</v>
      </c>
      <c r="K27" s="10">
        <f>J27*365/84</f>
        <v>41.279761904761905</v>
      </c>
      <c r="L27" s="11">
        <f>B25 * 1.5</f>
        <v>15480</v>
      </c>
      <c r="M27" s="10"/>
      <c r="N27" s="10">
        <v>0</v>
      </c>
      <c r="O27" s="15">
        <f>B25*0.5</f>
        <v>5160</v>
      </c>
      <c r="P27" s="54">
        <f>B25 * 12</f>
        <v>123840</v>
      </c>
      <c r="Q27" s="10">
        <f ca="1">IF(DATEDIF(B27, EOMONTH(NOW(), 0), "Y") &lt; 1, 11, MIN(25, 15 + INT((DATEDIF(B27, EOMONTH(NOW(), 0), "Y") - 1) / 2)))</f>
        <v>11</v>
      </c>
      <c r="R27" s="16"/>
      <c r="S27" s="83"/>
      <c r="T27" s="83"/>
      <c r="U27" s="80"/>
      <c r="V27" s="80"/>
      <c r="W27" s="80"/>
    </row>
    <row r="28" spans="1:25">
      <c r="A28" s="18">
        <f ca="1">U26/C28</f>
        <v>10674.958959182533</v>
      </c>
      <c r="B28" s="4" t="s">
        <v>17</v>
      </c>
      <c r="C28" s="10">
        <f>SUM(C27, H27*1.5, K27*1.5)</f>
        <v>319.80357142857144</v>
      </c>
      <c r="D28" s="80">
        <f>(D27 * 209) + E27 + F27</f>
        <v>2156880</v>
      </c>
      <c r="E28" s="79"/>
      <c r="F28" s="79"/>
      <c r="G28" s="80">
        <f>H27 * I27</f>
        <v>504482.1428571429</v>
      </c>
      <c r="H28" s="79"/>
      <c r="I28" s="79"/>
      <c r="J28" s="80">
        <f>K27 * L27</f>
        <v>639010.71428571432</v>
      </c>
      <c r="K28" s="79"/>
      <c r="L28" s="79"/>
      <c r="M28" s="85">
        <f>N27*O27</f>
        <v>0</v>
      </c>
      <c r="N28" s="79"/>
      <c r="O28" s="79"/>
      <c r="P28" s="80">
        <f ca="1">ROUND((P27 * Q27) / 12, -1)</f>
        <v>113520</v>
      </c>
      <c r="Q28" s="80"/>
      <c r="R28" s="15">
        <f>B25*0.5*R27</f>
        <v>0</v>
      </c>
      <c r="S28" s="84"/>
      <c r="T28" s="84"/>
      <c r="U28" s="10" t="s">
        <v>19</v>
      </c>
      <c r="V28" s="87">
        <f>D28+F27+G28+L28+M28</f>
        <v>2661362.1428571427</v>
      </c>
      <c r="W28" s="88"/>
    </row>
    <row r="31" spans="1:25">
      <c r="A31" s="2" t="s">
        <v>88</v>
      </c>
      <c r="B31" s="3">
        <f>( (D33 * 209) + F33 ) / 209</f>
        <v>10320</v>
      </c>
      <c r="C31" s="79" t="s">
        <v>3</v>
      </c>
      <c r="D31" s="79"/>
      <c r="E31" s="79"/>
      <c r="F31" s="79"/>
      <c r="G31" s="79" t="s">
        <v>14</v>
      </c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 t="s">
        <v>15</v>
      </c>
      <c r="S31" s="79"/>
      <c r="T31" s="79"/>
      <c r="U31" s="79" t="s">
        <v>18</v>
      </c>
      <c r="V31" s="79"/>
      <c r="W31" s="79"/>
    </row>
    <row r="32" spans="1:25">
      <c r="A32" s="55" t="s">
        <v>89</v>
      </c>
      <c r="B32" s="4" t="s">
        <v>2</v>
      </c>
      <c r="C32" s="79" t="s">
        <v>4</v>
      </c>
      <c r="D32" s="79"/>
      <c r="E32" s="10" t="s">
        <v>5</v>
      </c>
      <c r="F32" s="10" t="s">
        <v>6</v>
      </c>
      <c r="G32" s="79" t="s">
        <v>7</v>
      </c>
      <c r="H32" s="79"/>
      <c r="I32" s="79"/>
      <c r="J32" s="79" t="s">
        <v>8</v>
      </c>
      <c r="K32" s="79"/>
      <c r="L32" s="79"/>
      <c r="M32" s="79" t="s">
        <v>10</v>
      </c>
      <c r="N32" s="79"/>
      <c r="O32" s="79"/>
      <c r="P32" s="79" t="s">
        <v>11</v>
      </c>
      <c r="Q32" s="79"/>
      <c r="R32" s="10" t="s">
        <v>9</v>
      </c>
      <c r="S32" s="10" t="s">
        <v>12</v>
      </c>
      <c r="T32" s="10" t="s">
        <v>13</v>
      </c>
      <c r="U32" s="80">
        <f ca="1">ROUNDDOWN(SUM(D34, E33, G34, J34, M34, P34, R34, S33, T33), -1)</f>
        <v>3413890</v>
      </c>
      <c r="V32" s="80"/>
      <c r="W32" s="80"/>
    </row>
    <row r="33" spans="1:23">
      <c r="A33" s="56" t="s">
        <v>1</v>
      </c>
      <c r="B33" s="17">
        <v>46122</v>
      </c>
      <c r="C33" s="10">
        <v>209</v>
      </c>
      <c r="D33" s="11">
        <v>10320</v>
      </c>
      <c r="E33" s="12"/>
      <c r="F33" s="12"/>
      <c r="G33" s="13">
        <v>5</v>
      </c>
      <c r="H33" s="13">
        <f>G33*365/84</f>
        <v>21.726190476190474</v>
      </c>
      <c r="I33" s="11">
        <f>B31 * 1.5</f>
        <v>15480</v>
      </c>
      <c r="J33" s="58">
        <v>9</v>
      </c>
      <c r="K33" s="10">
        <f>J33*365/84</f>
        <v>39.107142857142854</v>
      </c>
      <c r="L33" s="11">
        <f>B31 * 1.5</f>
        <v>15480</v>
      </c>
      <c r="M33" s="10">
        <v>9</v>
      </c>
      <c r="N33" s="10">
        <f>M33*365/84</f>
        <v>39.107142857142854</v>
      </c>
      <c r="O33" s="15">
        <f>B31*0.5</f>
        <v>5160</v>
      </c>
      <c r="P33" s="54">
        <f>B31 * 12</f>
        <v>123840</v>
      </c>
      <c r="Q33" s="10">
        <f ca="1">IF(DATEDIF(B33, EOMONTH(NOW(), 0), "Y") &lt; 1, 11, MIN(25, 15 + INT((DATEDIF(B33, EOMONTH(NOW(), 0), "Y") - 1) / 2)))</f>
        <v>11</v>
      </c>
      <c r="R33" s="16"/>
      <c r="S33" s="81"/>
      <c r="T33" s="83"/>
      <c r="U33" s="80"/>
      <c r="V33" s="80"/>
      <c r="W33" s="80"/>
    </row>
    <row r="34" spans="1:23">
      <c r="A34" s="18">
        <f ca="1">U32/C34</f>
        <v>11370.158201498751</v>
      </c>
      <c r="B34" s="4" t="s">
        <v>17</v>
      </c>
      <c r="C34" s="10">
        <f>SUM(C33, H33*1.5, K33*1.5)</f>
        <v>300.25</v>
      </c>
      <c r="D34" s="80">
        <f>(D33 * 209) + E33 + F33</f>
        <v>2156880</v>
      </c>
      <c r="E34" s="79"/>
      <c r="F34" s="79"/>
      <c r="G34" s="80">
        <f>H33 * I33</f>
        <v>336321.42857142852</v>
      </c>
      <c r="H34" s="79"/>
      <c r="I34" s="79"/>
      <c r="J34" s="80">
        <f>K33 * L33</f>
        <v>605378.57142857136</v>
      </c>
      <c r="K34" s="79"/>
      <c r="L34" s="79"/>
      <c r="M34" s="85">
        <f>N33*O33</f>
        <v>201792.85714285713</v>
      </c>
      <c r="N34" s="79"/>
      <c r="O34" s="79"/>
      <c r="P34" s="80">
        <f ca="1">ROUND((P33 * Q33) / 12, -1)</f>
        <v>113520</v>
      </c>
      <c r="Q34" s="80"/>
      <c r="R34" s="15">
        <f>B31*0.5*R33</f>
        <v>0</v>
      </c>
      <c r="S34" s="82"/>
      <c r="T34" s="84"/>
      <c r="U34" s="10" t="s">
        <v>19</v>
      </c>
      <c r="V34" s="87">
        <f>D34+F33+G34+L34+M34</f>
        <v>2694994.2857142859</v>
      </c>
      <c r="W34" s="88"/>
    </row>
    <row r="37" spans="1:23">
      <c r="A37" s="2" t="s">
        <v>16</v>
      </c>
      <c r="B37" s="3">
        <f>( (D39 * 209) + F39 ) / 209</f>
        <v>12473.110047846891</v>
      </c>
      <c r="C37" s="79" t="s">
        <v>3</v>
      </c>
      <c r="D37" s="79"/>
      <c r="E37" s="79"/>
      <c r="F37" s="79"/>
      <c r="G37" s="79" t="s">
        <v>14</v>
      </c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 t="s">
        <v>15</v>
      </c>
      <c r="S37" s="79"/>
      <c r="T37" s="79"/>
      <c r="U37" s="79" t="s">
        <v>18</v>
      </c>
      <c r="V37" s="79"/>
      <c r="W37" s="79"/>
    </row>
    <row r="38" spans="1:23">
      <c r="A38" s="8" t="s">
        <v>0</v>
      </c>
      <c r="B38" s="4" t="s">
        <v>90</v>
      </c>
      <c r="C38" s="79" t="s">
        <v>4</v>
      </c>
      <c r="D38" s="79"/>
      <c r="E38" s="10" t="s">
        <v>5</v>
      </c>
      <c r="F38" s="10" t="s">
        <v>6</v>
      </c>
      <c r="G38" s="79" t="s">
        <v>7</v>
      </c>
      <c r="H38" s="79"/>
      <c r="I38" s="79"/>
      <c r="J38" s="79" t="s">
        <v>8</v>
      </c>
      <c r="K38" s="79"/>
      <c r="L38" s="79"/>
      <c r="M38" s="79" t="s">
        <v>10</v>
      </c>
      <c r="N38" s="79"/>
      <c r="O38" s="79"/>
      <c r="P38" s="79" t="s">
        <v>11</v>
      </c>
      <c r="Q38" s="79"/>
      <c r="R38" s="10" t="s">
        <v>9</v>
      </c>
      <c r="S38" s="10" t="s">
        <v>12</v>
      </c>
      <c r="T38" s="10" t="s">
        <v>13</v>
      </c>
      <c r="U38" s="80">
        <f ca="1">ROUNDDOWN(SUM(D40, E39, G40, J40, M40, P40, R40, S39, T39), -1)</f>
        <v>4600000</v>
      </c>
      <c r="V38" s="80"/>
      <c r="W38" s="80"/>
    </row>
    <row r="39" spans="1:23">
      <c r="A39" s="8" t="s">
        <v>1</v>
      </c>
      <c r="B39" s="17">
        <v>44986</v>
      </c>
      <c r="C39" s="10">
        <v>209</v>
      </c>
      <c r="D39" s="11">
        <v>10320</v>
      </c>
      <c r="E39" s="12">
        <v>200000</v>
      </c>
      <c r="F39" s="12">
        <v>450000</v>
      </c>
      <c r="G39" s="13">
        <v>7.5</v>
      </c>
      <c r="H39" s="13">
        <f>G39*365/84</f>
        <v>32.589285714285715</v>
      </c>
      <c r="I39" s="11">
        <f>B37 * 1.5</f>
        <v>18709.665071770338</v>
      </c>
      <c r="J39" s="58">
        <v>9.5</v>
      </c>
      <c r="K39" s="10">
        <f>J39*365/84</f>
        <v>41.279761904761905</v>
      </c>
      <c r="L39" s="11">
        <f>B37 * 1.5</f>
        <v>18709.665071770338</v>
      </c>
      <c r="M39" s="10"/>
      <c r="N39" s="10">
        <v>0</v>
      </c>
      <c r="O39" s="15">
        <f>B37*0.5</f>
        <v>6236.5550239234453</v>
      </c>
      <c r="P39" s="54">
        <f>B37*12</f>
        <v>149677.3205741627</v>
      </c>
      <c r="Q39" s="10">
        <f ca="1">IF(DATEDIF(B39, EOMONTH(NOW(), 0), "Y") &lt; 1, 11, MIN(25, 15 + INT((DATEDIF(B39, EOMONTH(NOW(), 0), "Y") - 1) / 2)))</f>
        <v>16</v>
      </c>
      <c r="R39" s="16"/>
      <c r="S39" s="81">
        <v>211490</v>
      </c>
      <c r="T39" s="83"/>
      <c r="U39" s="80"/>
      <c r="V39" s="80"/>
      <c r="W39" s="80"/>
    </row>
    <row r="40" spans="1:23">
      <c r="A40" s="18">
        <f ca="1">U38/C40</f>
        <v>14383.829359539895</v>
      </c>
      <c r="B40" s="4" t="s">
        <v>91</v>
      </c>
      <c r="C40" s="10">
        <f>SUM(C39, H39*1.5, K39*1.5)</f>
        <v>319.80357142857144</v>
      </c>
      <c r="D40" s="80">
        <f>(D39 * 209) + F39</f>
        <v>2606880</v>
      </c>
      <c r="E40" s="79"/>
      <c r="F40" s="79"/>
      <c r="G40" s="80">
        <f>H39 * I39</f>
        <v>609734.62064251548</v>
      </c>
      <c r="H40" s="79"/>
      <c r="I40" s="79"/>
      <c r="J40" s="80">
        <f>K39 * L39</f>
        <v>772330.51948051958</v>
      </c>
      <c r="K40" s="79"/>
      <c r="L40" s="79"/>
      <c r="M40" s="85">
        <f>N39*O39</f>
        <v>0</v>
      </c>
      <c r="N40" s="79"/>
      <c r="O40" s="79"/>
      <c r="P40" s="80">
        <f ca="1">ROUND((P39 * Q39) / 12, -1)</f>
        <v>199570</v>
      </c>
      <c r="Q40" s="80"/>
      <c r="R40" s="15">
        <f>B37*0.5*R39</f>
        <v>0</v>
      </c>
      <c r="S40" s="82"/>
      <c r="T40" s="84"/>
      <c r="U40" s="10" t="s">
        <v>19</v>
      </c>
      <c r="V40" s="87">
        <f ca="1">D40+G40+L40+M40+P40</f>
        <v>3416184.6206425154</v>
      </c>
      <c r="W40" s="88"/>
    </row>
    <row r="43" spans="1:23">
      <c r="A43" s="2" t="s">
        <v>88</v>
      </c>
      <c r="B43" s="3">
        <f>( (D45 * 209) + F45 ) / 209</f>
        <v>10320</v>
      </c>
      <c r="C43" s="79" t="s">
        <v>3</v>
      </c>
      <c r="D43" s="79"/>
      <c r="E43" s="79"/>
      <c r="F43" s="79"/>
      <c r="G43" s="79" t="s">
        <v>14</v>
      </c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 t="s">
        <v>15</v>
      </c>
      <c r="S43" s="79"/>
      <c r="T43" s="79"/>
      <c r="U43" s="79" t="s">
        <v>18</v>
      </c>
      <c r="V43" s="79"/>
      <c r="W43" s="79"/>
    </row>
    <row r="44" spans="1:23">
      <c r="A44" s="55" t="s">
        <v>89</v>
      </c>
      <c r="B44" s="4" t="s">
        <v>2</v>
      </c>
      <c r="C44" s="79" t="s">
        <v>4</v>
      </c>
      <c r="D44" s="79"/>
      <c r="E44" s="10" t="s">
        <v>5</v>
      </c>
      <c r="F44" s="10" t="s">
        <v>6</v>
      </c>
      <c r="G44" s="79" t="s">
        <v>7</v>
      </c>
      <c r="H44" s="79"/>
      <c r="I44" s="79"/>
      <c r="J44" s="79" t="s">
        <v>8</v>
      </c>
      <c r="K44" s="79"/>
      <c r="L44" s="79"/>
      <c r="M44" s="79" t="s">
        <v>10</v>
      </c>
      <c r="N44" s="79"/>
      <c r="O44" s="79"/>
      <c r="P44" s="79" t="s">
        <v>11</v>
      </c>
      <c r="Q44" s="79"/>
      <c r="R44" s="10" t="s">
        <v>9</v>
      </c>
      <c r="S44" s="10" t="s">
        <v>12</v>
      </c>
      <c r="T44" s="10" t="s">
        <v>13</v>
      </c>
      <c r="U44" s="80">
        <f ca="1">ROUNDDOWN(SUM(D46, E45, G46, J46, M46, P46, R46, S45, T45), -1)</f>
        <v>3413890</v>
      </c>
      <c r="V44" s="80"/>
      <c r="W44" s="80"/>
    </row>
    <row r="45" spans="1:23">
      <c r="A45" s="56" t="s">
        <v>1</v>
      </c>
      <c r="B45" s="17">
        <v>46122</v>
      </c>
      <c r="C45" s="10">
        <v>209</v>
      </c>
      <c r="D45" s="11">
        <v>10320</v>
      </c>
      <c r="E45" s="12"/>
      <c r="F45" s="12"/>
      <c r="G45" s="13">
        <v>5</v>
      </c>
      <c r="H45" s="13">
        <f>G45*365/84</f>
        <v>21.726190476190474</v>
      </c>
      <c r="I45" s="11">
        <f>B43 * 1.5</f>
        <v>15480</v>
      </c>
      <c r="J45" s="58">
        <v>9</v>
      </c>
      <c r="K45" s="10">
        <f>J45*365/84</f>
        <v>39.107142857142854</v>
      </c>
      <c r="L45" s="11">
        <f>B43 * 1.5</f>
        <v>15480</v>
      </c>
      <c r="M45" s="10">
        <v>9</v>
      </c>
      <c r="N45" s="10">
        <f>M45*365/84</f>
        <v>39.107142857142854</v>
      </c>
      <c r="O45" s="15">
        <f>B43*0.5</f>
        <v>5160</v>
      </c>
      <c r="P45" s="54">
        <f>B43 * 12</f>
        <v>123840</v>
      </c>
      <c r="Q45" s="10">
        <f ca="1">IF(DATEDIF(B45, EOMONTH(NOW(), 0), "Y") &lt; 1, 11, MIN(25, 15 + INT((DATEDIF(B45, EOMONTH(NOW(), 0), "Y") - 1) / 2)))</f>
        <v>11</v>
      </c>
      <c r="R45" s="16"/>
      <c r="S45" s="81"/>
      <c r="T45" s="83"/>
      <c r="U45" s="80"/>
      <c r="V45" s="80"/>
      <c r="W45" s="80"/>
    </row>
    <row r="46" spans="1:23">
      <c r="A46" s="18">
        <f ca="1">U44/C46</f>
        <v>11370.158201498751</v>
      </c>
      <c r="B46" s="4" t="s">
        <v>17</v>
      </c>
      <c r="C46" s="10">
        <f>SUM(C45, H45*1.5, K45*1.5)</f>
        <v>300.25</v>
      </c>
      <c r="D46" s="80">
        <f>(D45 * 209) + F45</f>
        <v>2156880</v>
      </c>
      <c r="E46" s="79"/>
      <c r="F46" s="79"/>
      <c r="G46" s="80">
        <f>H45 * I45</f>
        <v>336321.42857142852</v>
      </c>
      <c r="H46" s="79"/>
      <c r="I46" s="79"/>
      <c r="J46" s="80">
        <f>K45 * L45</f>
        <v>605378.57142857136</v>
      </c>
      <c r="K46" s="79"/>
      <c r="L46" s="79"/>
      <c r="M46" s="85">
        <f>N45*O45</f>
        <v>201792.85714285713</v>
      </c>
      <c r="N46" s="79"/>
      <c r="O46" s="79"/>
      <c r="P46" s="80">
        <f ca="1">ROUND((P45 * Q45) / 12, -1)</f>
        <v>113520</v>
      </c>
      <c r="Q46" s="80"/>
      <c r="R46" s="15">
        <f>B43*0.5*R45</f>
        <v>0</v>
      </c>
      <c r="S46" s="82"/>
      <c r="T46" s="84"/>
      <c r="U46" s="10" t="s">
        <v>19</v>
      </c>
      <c r="V46" s="87">
        <f>D46+F45+G46+L46+M46</f>
        <v>2694994.2857142859</v>
      </c>
      <c r="W46" s="88"/>
    </row>
    <row r="49" spans="1:23">
      <c r="A49" s="2" t="s">
        <v>88</v>
      </c>
      <c r="B49" s="3">
        <f>( (D51 * 209) + F51 ) / 209</f>
        <v>10320</v>
      </c>
      <c r="C49" s="79" t="s">
        <v>3</v>
      </c>
      <c r="D49" s="79"/>
      <c r="E49" s="79"/>
      <c r="F49" s="79"/>
      <c r="G49" s="79" t="s">
        <v>14</v>
      </c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 t="s">
        <v>15</v>
      </c>
      <c r="S49" s="79"/>
      <c r="T49" s="79"/>
      <c r="U49" s="79" t="s">
        <v>18</v>
      </c>
      <c r="V49" s="79"/>
      <c r="W49" s="79"/>
    </row>
    <row r="50" spans="1:23">
      <c r="A50" s="56" t="s">
        <v>92</v>
      </c>
      <c r="B50" s="4" t="s">
        <v>2</v>
      </c>
      <c r="C50" s="79" t="s">
        <v>4</v>
      </c>
      <c r="D50" s="79"/>
      <c r="E50" s="10" t="s">
        <v>5</v>
      </c>
      <c r="F50" s="10" t="s">
        <v>6</v>
      </c>
      <c r="G50" s="79" t="s">
        <v>7</v>
      </c>
      <c r="H50" s="79"/>
      <c r="I50" s="79"/>
      <c r="J50" s="79" t="s">
        <v>8</v>
      </c>
      <c r="K50" s="79"/>
      <c r="L50" s="79"/>
      <c r="M50" s="79" t="s">
        <v>10</v>
      </c>
      <c r="N50" s="79"/>
      <c r="O50" s="79"/>
      <c r="P50" s="79" t="s">
        <v>11</v>
      </c>
      <c r="Q50" s="79"/>
      <c r="R50" s="10" t="s">
        <v>9</v>
      </c>
      <c r="S50" s="10" t="s">
        <v>12</v>
      </c>
      <c r="T50" s="10" t="s">
        <v>13</v>
      </c>
      <c r="U50" s="80">
        <f ca="1">ROUNDDOWN(SUM(D52, E51, G52, J52, M52, P52, R52, S51, T51), -1)</f>
        <v>1510000</v>
      </c>
      <c r="V50" s="80"/>
      <c r="W50" s="80"/>
    </row>
    <row r="51" spans="1:23">
      <c r="A51" s="56" t="s">
        <v>93</v>
      </c>
      <c r="B51" s="17">
        <v>46134</v>
      </c>
      <c r="C51" s="10">
        <v>141</v>
      </c>
      <c r="D51" s="11">
        <v>10320</v>
      </c>
      <c r="E51" s="12"/>
      <c r="F51" s="12"/>
      <c r="G51" s="13"/>
      <c r="H51" s="13">
        <f>G51*365/84</f>
        <v>0</v>
      </c>
      <c r="I51" s="11">
        <f>B49 * 1.5</f>
        <v>15480</v>
      </c>
      <c r="J51" s="58"/>
      <c r="K51" s="10">
        <f>J51*365/84</f>
        <v>0</v>
      </c>
      <c r="L51" s="11">
        <f>B49 * 1.5</f>
        <v>15480</v>
      </c>
      <c r="M51" s="10"/>
      <c r="N51" s="10">
        <f>M51*365/84</f>
        <v>0</v>
      </c>
      <c r="O51" s="15">
        <f>B49*0.5</f>
        <v>5160</v>
      </c>
      <c r="P51" s="54">
        <f>B49 * 5</f>
        <v>51600</v>
      </c>
      <c r="Q51" s="10">
        <f ca="1">IF(DATEDIF(B51, EOMONTH(NOW(), 0), "Y") &lt; 1, 11, MIN(25, 15 + INT((DATEDIF(B51, EOMONTH(NOW(), 0), "Y") - 1) / 2)))</f>
        <v>11</v>
      </c>
      <c r="R51" s="16"/>
      <c r="S51" s="81">
        <v>7580</v>
      </c>
      <c r="T51" s="83"/>
      <c r="U51" s="80"/>
      <c r="V51" s="80"/>
      <c r="W51" s="80"/>
    </row>
    <row r="52" spans="1:23">
      <c r="A52" s="18">
        <f ca="1">U50/C52</f>
        <v>10709.219858156028</v>
      </c>
      <c r="B52" s="4" t="s">
        <v>17</v>
      </c>
      <c r="C52" s="10">
        <f>SUM(C51, H51*1.5, K51*1.5)</f>
        <v>141</v>
      </c>
      <c r="D52" s="80">
        <f>(D51 * C51)  + F51</f>
        <v>1455120</v>
      </c>
      <c r="E52" s="79"/>
      <c r="F52" s="79"/>
      <c r="G52" s="80">
        <f>H51 * I51</f>
        <v>0</v>
      </c>
      <c r="H52" s="79"/>
      <c r="I52" s="79"/>
      <c r="J52" s="80">
        <f>K51 * L51</f>
        <v>0</v>
      </c>
      <c r="K52" s="79"/>
      <c r="L52" s="79"/>
      <c r="M52" s="85">
        <f>N51*O51</f>
        <v>0</v>
      </c>
      <c r="N52" s="79"/>
      <c r="O52" s="79"/>
      <c r="P52" s="80">
        <f ca="1">ROUND((P51 * Q51) / 12, -1)</f>
        <v>47300</v>
      </c>
      <c r="Q52" s="80"/>
      <c r="R52" s="15">
        <f>B49*0.5*R51</f>
        <v>0</v>
      </c>
      <c r="S52" s="82"/>
      <c r="T52" s="84"/>
      <c r="U52" s="10" t="s">
        <v>19</v>
      </c>
      <c r="V52" s="87">
        <f>D52+F51+G52+L52+M52</f>
        <v>1455120</v>
      </c>
      <c r="W52" s="88"/>
    </row>
    <row r="55" spans="1:23">
      <c r="A55" s="2" t="s">
        <v>88</v>
      </c>
      <c r="B55" s="3">
        <f>( (D57 * 209) + F57 ) / 209</f>
        <v>10320</v>
      </c>
      <c r="C55" s="79" t="s">
        <v>3</v>
      </c>
      <c r="D55" s="79"/>
      <c r="E55" s="79"/>
      <c r="F55" s="79"/>
      <c r="G55" s="79" t="s">
        <v>14</v>
      </c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 t="s">
        <v>15</v>
      </c>
      <c r="S55" s="79"/>
      <c r="T55" s="79"/>
      <c r="U55" s="79" t="s">
        <v>18</v>
      </c>
      <c r="V55" s="79"/>
      <c r="W55" s="79"/>
    </row>
    <row r="56" spans="1:23">
      <c r="A56" s="56" t="s">
        <v>92</v>
      </c>
      <c r="B56" s="4" t="s">
        <v>2</v>
      </c>
      <c r="C56" s="79" t="s">
        <v>4</v>
      </c>
      <c r="D56" s="79"/>
      <c r="E56" s="10" t="s">
        <v>5</v>
      </c>
      <c r="F56" s="10" t="s">
        <v>6</v>
      </c>
      <c r="G56" s="79" t="s">
        <v>7</v>
      </c>
      <c r="H56" s="79"/>
      <c r="I56" s="79"/>
      <c r="J56" s="79" t="s">
        <v>8</v>
      </c>
      <c r="K56" s="79"/>
      <c r="L56" s="79"/>
      <c r="M56" s="79" t="s">
        <v>10</v>
      </c>
      <c r="N56" s="79"/>
      <c r="O56" s="79"/>
      <c r="P56" s="79" t="s">
        <v>11</v>
      </c>
      <c r="Q56" s="79"/>
      <c r="R56" s="10" t="s">
        <v>9</v>
      </c>
      <c r="S56" s="10" t="s">
        <v>12</v>
      </c>
      <c r="T56" s="10" t="s">
        <v>13</v>
      </c>
      <c r="U56" s="80">
        <f ca="1">ROUNDDOWN(SUM(D58, E57, G58, J58, M58, P58, R58, S57, T57), -1)</f>
        <v>1564950</v>
      </c>
      <c r="V56" s="80"/>
      <c r="W56" s="80"/>
    </row>
    <row r="57" spans="1:23">
      <c r="A57" s="56" t="s">
        <v>94</v>
      </c>
      <c r="B57" s="17">
        <v>46122</v>
      </c>
      <c r="C57" s="10">
        <v>141</v>
      </c>
      <c r="D57" s="11">
        <v>10320</v>
      </c>
      <c r="E57" s="12"/>
      <c r="F57" s="12"/>
      <c r="G57" s="13"/>
      <c r="H57" s="13">
        <f>G57*365/84</f>
        <v>0</v>
      </c>
      <c r="I57" s="11">
        <f>B55 * 1.5</f>
        <v>15480</v>
      </c>
      <c r="J57" s="58"/>
      <c r="K57" s="10">
        <f>J57*365/84</f>
        <v>0</v>
      </c>
      <c r="L57" s="11">
        <f>B55 * 1.5</f>
        <v>15480</v>
      </c>
      <c r="M57" s="10">
        <v>3</v>
      </c>
      <c r="N57" s="10">
        <f>M57*365/84</f>
        <v>13.035714285714286</v>
      </c>
      <c r="O57" s="15">
        <f>B55*0.5</f>
        <v>5160</v>
      </c>
      <c r="P57" s="54">
        <f>B55 * 4.5</f>
        <v>46440</v>
      </c>
      <c r="Q57" s="10">
        <f ca="1">IF(DATEDIF(B57, EOMONTH(NOW(), 0), "Y") &lt; 1, 11, MIN(25, 15 + INT((DATEDIF(B57, EOMONTH(NOW(), 0), "Y") - 1) / 2)))</f>
        <v>11</v>
      </c>
      <c r="R57" s="16"/>
      <c r="S57" s="81"/>
      <c r="T57" s="83"/>
      <c r="U57" s="80"/>
      <c r="V57" s="80"/>
      <c r="W57" s="80"/>
    </row>
    <row r="58" spans="1:23">
      <c r="A58" s="18">
        <f ca="1">U56/C58</f>
        <v>11098.936170212766</v>
      </c>
      <c r="B58" s="4" t="s">
        <v>17</v>
      </c>
      <c r="C58" s="10">
        <f>SUM(C57, H57*1.5, K57*1.5)</f>
        <v>141</v>
      </c>
      <c r="D58" s="80">
        <f>(D57 * C57)  + F57</f>
        <v>1455120</v>
      </c>
      <c r="E58" s="79"/>
      <c r="F58" s="79"/>
      <c r="G58" s="80">
        <f>H57 * I57</f>
        <v>0</v>
      </c>
      <c r="H58" s="79"/>
      <c r="I58" s="79"/>
      <c r="J58" s="80">
        <f>K57 * L57</f>
        <v>0</v>
      </c>
      <c r="K58" s="79"/>
      <c r="L58" s="79"/>
      <c r="M58" s="85">
        <f>N57*O57</f>
        <v>67264.285714285725</v>
      </c>
      <c r="N58" s="79"/>
      <c r="O58" s="79"/>
      <c r="P58" s="80">
        <f ca="1">ROUND((P57 * Q57) / 12, -1)</f>
        <v>42570</v>
      </c>
      <c r="Q58" s="80"/>
      <c r="R58" s="15">
        <f>B55*0.5*R57</f>
        <v>0</v>
      </c>
      <c r="S58" s="82"/>
      <c r="T58" s="84"/>
      <c r="U58" s="10" t="s">
        <v>19</v>
      </c>
      <c r="V58" s="87">
        <f>D58+F57+G58+L58+M58</f>
        <v>1522384.2857142857</v>
      </c>
      <c r="W58" s="88"/>
    </row>
    <row r="61" spans="1:23">
      <c r="A61" s="2" t="s">
        <v>88</v>
      </c>
      <c r="B61" s="3">
        <f>( (D63 * 209) + F63 ) / 209</f>
        <v>10320</v>
      </c>
      <c r="C61" s="79" t="s">
        <v>3</v>
      </c>
      <c r="D61" s="79"/>
      <c r="E61" s="79"/>
      <c r="F61" s="79"/>
      <c r="G61" s="79" t="s">
        <v>14</v>
      </c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 t="s">
        <v>15</v>
      </c>
      <c r="S61" s="79"/>
      <c r="T61" s="79"/>
      <c r="U61" s="79" t="s">
        <v>18</v>
      </c>
      <c r="V61" s="79"/>
      <c r="W61" s="79"/>
    </row>
    <row r="62" spans="1:23">
      <c r="A62" s="55" t="s">
        <v>89</v>
      </c>
      <c r="B62" s="4" t="s">
        <v>2</v>
      </c>
      <c r="C62" s="79" t="s">
        <v>4</v>
      </c>
      <c r="D62" s="79"/>
      <c r="E62" s="10" t="s">
        <v>5</v>
      </c>
      <c r="F62" s="10" t="s">
        <v>6</v>
      </c>
      <c r="G62" s="79" t="s">
        <v>7</v>
      </c>
      <c r="H62" s="79"/>
      <c r="I62" s="79"/>
      <c r="J62" s="79" t="s">
        <v>8</v>
      </c>
      <c r="K62" s="79"/>
      <c r="L62" s="79"/>
      <c r="M62" s="79" t="s">
        <v>10</v>
      </c>
      <c r="N62" s="79"/>
      <c r="O62" s="79"/>
      <c r="P62" s="79" t="s">
        <v>11</v>
      </c>
      <c r="Q62" s="79"/>
      <c r="R62" s="10" t="s">
        <v>9</v>
      </c>
      <c r="S62" s="10" t="s">
        <v>12</v>
      </c>
      <c r="T62" s="10" t="s">
        <v>13</v>
      </c>
      <c r="U62" s="80">
        <f ca="1">ROUNDDOWN(SUM(D64, E63, G64, J64, M64, P64, R64, S63, T63), -1)</f>
        <v>3300000</v>
      </c>
      <c r="V62" s="80"/>
      <c r="W62" s="80"/>
    </row>
    <row r="63" spans="1:23">
      <c r="A63" s="56" t="s">
        <v>1</v>
      </c>
      <c r="B63" s="17">
        <v>46122</v>
      </c>
      <c r="C63" s="10">
        <v>209</v>
      </c>
      <c r="D63" s="11">
        <v>10320</v>
      </c>
      <c r="E63" s="12"/>
      <c r="F63" s="12"/>
      <c r="G63" s="13">
        <v>5</v>
      </c>
      <c r="H63" s="13">
        <f>G63*365/84</f>
        <v>21.726190476190474</v>
      </c>
      <c r="I63" s="11">
        <f>B61 * 1.5</f>
        <v>15480</v>
      </c>
      <c r="J63" s="58">
        <v>9</v>
      </c>
      <c r="K63" s="10">
        <f>J63*365/84</f>
        <v>39.107142857142854</v>
      </c>
      <c r="L63" s="11">
        <f>B61 * 1.5</f>
        <v>15480</v>
      </c>
      <c r="M63" s="10"/>
      <c r="N63" s="10">
        <f>M63*365/84</f>
        <v>0</v>
      </c>
      <c r="O63" s="15">
        <f>B61*0.5</f>
        <v>5160</v>
      </c>
      <c r="P63" s="54">
        <f>B61 * 12</f>
        <v>123840</v>
      </c>
      <c r="Q63" s="10">
        <f ca="1">IF(DATEDIF(B63, EOMONTH(NOW(), 0), "Y") &lt; 1, 11, MIN(25, 15 + INT((DATEDIF(B63, EOMONTH(NOW(), 0), "Y") - 1) / 2)))</f>
        <v>11</v>
      </c>
      <c r="R63" s="16"/>
      <c r="S63" s="81">
        <v>87900</v>
      </c>
      <c r="T63" s="83"/>
      <c r="U63" s="80"/>
      <c r="V63" s="80"/>
      <c r="W63" s="80"/>
    </row>
    <row r="64" spans="1:23">
      <c r="A64" s="18">
        <f ca="1">U62/C64</f>
        <v>10990.840965861782</v>
      </c>
      <c r="B64" s="4" t="s">
        <v>17</v>
      </c>
      <c r="C64" s="10">
        <f>SUM(C63, H63*1.5, K63*1.5)</f>
        <v>300.25</v>
      </c>
      <c r="D64" s="80">
        <f>(D63 * 209)  + F63</f>
        <v>2156880</v>
      </c>
      <c r="E64" s="79"/>
      <c r="F64" s="79"/>
      <c r="G64" s="80">
        <f>H63 * I63</f>
        <v>336321.42857142852</v>
      </c>
      <c r="H64" s="79"/>
      <c r="I64" s="79"/>
      <c r="J64" s="80">
        <f>K63 * L63</f>
        <v>605378.57142857136</v>
      </c>
      <c r="K64" s="79"/>
      <c r="L64" s="79"/>
      <c r="M64" s="85">
        <f>N63*O63</f>
        <v>0</v>
      </c>
      <c r="N64" s="79"/>
      <c r="O64" s="79"/>
      <c r="P64" s="80">
        <f ca="1">ROUND((P63 * Q63) / 12, -1)</f>
        <v>113520</v>
      </c>
      <c r="Q64" s="80"/>
      <c r="R64" s="15">
        <f>B61*0.5*R63</f>
        <v>0</v>
      </c>
      <c r="S64" s="82"/>
      <c r="T64" s="84"/>
      <c r="U64" s="10" t="s">
        <v>19</v>
      </c>
      <c r="V64" s="87">
        <f>D64+F63+G64+L64+M64</f>
        <v>2493201.4285714286</v>
      </c>
      <c r="W64" s="88"/>
    </row>
    <row r="67" spans="1:23">
      <c r="A67" s="2" t="s">
        <v>16</v>
      </c>
      <c r="B67" s="20">
        <f>( (D69 * 209) + F69 ) / 209</f>
        <v>10320</v>
      </c>
      <c r="C67" s="79" t="s">
        <v>3</v>
      </c>
      <c r="D67" s="79"/>
      <c r="E67" s="79"/>
      <c r="F67" s="79"/>
      <c r="G67" s="79" t="s">
        <v>14</v>
      </c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 t="s">
        <v>15</v>
      </c>
      <c r="S67" s="79"/>
      <c r="T67" s="79"/>
      <c r="U67" s="79" t="s">
        <v>18</v>
      </c>
      <c r="V67" s="79"/>
      <c r="W67" s="79"/>
    </row>
    <row r="68" spans="1:23">
      <c r="A68" s="9" t="s">
        <v>20</v>
      </c>
      <c r="B68" s="2" t="s">
        <v>24</v>
      </c>
      <c r="C68" s="79" t="s">
        <v>4</v>
      </c>
      <c r="D68" s="79"/>
      <c r="E68" s="10" t="s">
        <v>5</v>
      </c>
      <c r="F68" s="10" t="s">
        <v>6</v>
      </c>
      <c r="G68" s="79" t="s">
        <v>7</v>
      </c>
      <c r="H68" s="79"/>
      <c r="I68" s="79"/>
      <c r="J68" s="79" t="s">
        <v>8</v>
      </c>
      <c r="K68" s="79"/>
      <c r="L68" s="79"/>
      <c r="M68" s="79" t="s">
        <v>10</v>
      </c>
      <c r="N68" s="79"/>
      <c r="O68" s="79"/>
      <c r="P68" s="79" t="s">
        <v>11</v>
      </c>
      <c r="Q68" s="79"/>
      <c r="R68" s="10" t="s">
        <v>9</v>
      </c>
      <c r="S68" s="10" t="s">
        <v>12</v>
      </c>
      <c r="T68" s="10" t="s">
        <v>13</v>
      </c>
      <c r="U68" s="80">
        <f ca="1">ROUNDDOWN(SUM(D70, E69, G70, J70, M70, P70, R70, S69, T69), -1)</f>
        <v>3100000</v>
      </c>
      <c r="V68" s="80"/>
      <c r="W68" s="80"/>
    </row>
    <row r="69" spans="1:23">
      <c r="A69" s="9" t="s">
        <v>21</v>
      </c>
      <c r="B69" s="19">
        <v>46129</v>
      </c>
      <c r="C69" s="10">
        <v>209</v>
      </c>
      <c r="D69" s="11">
        <v>10320</v>
      </c>
      <c r="E69" s="21"/>
      <c r="F69" s="21"/>
      <c r="G69" s="13">
        <v>7.5</v>
      </c>
      <c r="H69" s="13">
        <f>G69*365/84</f>
        <v>32.589285714285715</v>
      </c>
      <c r="I69" s="11">
        <f>B67 * 1.5</f>
        <v>15480</v>
      </c>
      <c r="J69" s="58">
        <v>4.75</v>
      </c>
      <c r="K69" s="10">
        <f>J69*365/84</f>
        <v>20.639880952380953</v>
      </c>
      <c r="L69" s="11">
        <f>B67 * 1.5</f>
        <v>15480</v>
      </c>
      <c r="M69" s="10"/>
      <c r="N69" s="10">
        <v>0</v>
      </c>
      <c r="O69" s="15">
        <f>B67*0.5</f>
        <v>5160</v>
      </c>
      <c r="P69" s="54">
        <f>B67 * 12</f>
        <v>123840</v>
      </c>
      <c r="Q69" s="10">
        <f ca="1">IF(DATEDIF(B69, EOMONTH(NOW(), 0), "Y") &lt; 1, 11, MIN(25, 15 + INT((DATEDIF(B69, EOMONTH(NOW(), 0), "Y") - 1) / 2)))</f>
        <v>11</v>
      </c>
      <c r="R69" s="22"/>
      <c r="S69" s="89">
        <v>5620</v>
      </c>
      <c r="T69" s="91"/>
      <c r="U69" s="80"/>
      <c r="V69" s="80"/>
      <c r="W69" s="80"/>
    </row>
    <row r="70" spans="1:23">
      <c r="A70" s="18">
        <f ca="1">U68/C70</f>
        <v>10732.44617548415</v>
      </c>
      <c r="B70" s="2" t="s">
        <v>25</v>
      </c>
      <c r="C70" s="10">
        <f>SUM(C69, H69*1.5, K69*1.5)</f>
        <v>288.84375</v>
      </c>
      <c r="D70" s="80">
        <f>(D69 * 209) +  F69</f>
        <v>2156880</v>
      </c>
      <c r="E70" s="79"/>
      <c r="F70" s="79"/>
      <c r="G70" s="80">
        <f>H69 * I69</f>
        <v>504482.1428571429</v>
      </c>
      <c r="H70" s="79"/>
      <c r="I70" s="79"/>
      <c r="J70" s="80">
        <f>K69 * L69</f>
        <v>319505.35714285716</v>
      </c>
      <c r="K70" s="79"/>
      <c r="L70" s="79"/>
      <c r="M70" s="85">
        <f>N69*O69</f>
        <v>0</v>
      </c>
      <c r="N70" s="79"/>
      <c r="O70" s="79"/>
      <c r="P70" s="80">
        <f ca="1">ROUND((P69 * Q69) / 12, -1)</f>
        <v>113520</v>
      </c>
      <c r="Q70" s="80"/>
      <c r="R70" s="15">
        <f>B67*0.5*R69</f>
        <v>0</v>
      </c>
      <c r="S70" s="90"/>
      <c r="T70" s="92"/>
      <c r="U70" s="10" t="s">
        <v>19</v>
      </c>
      <c r="V70" s="87">
        <f>D70+F69+G70+L70+M70</f>
        <v>2661362.1428571427</v>
      </c>
      <c r="W70" s="88"/>
    </row>
    <row r="73" spans="1:23">
      <c r="A73" s="2" t="s">
        <v>88</v>
      </c>
      <c r="B73" s="3">
        <f>( (D75 * 209) + F75 ) / 209</f>
        <v>10320</v>
      </c>
      <c r="C73" s="79" t="s">
        <v>3</v>
      </c>
      <c r="D73" s="79"/>
      <c r="E73" s="79"/>
      <c r="F73" s="79"/>
      <c r="G73" s="79" t="s">
        <v>14</v>
      </c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 t="s">
        <v>15</v>
      </c>
      <c r="S73" s="79"/>
      <c r="T73" s="79"/>
      <c r="U73" s="79" t="s">
        <v>18</v>
      </c>
      <c r="V73" s="79"/>
      <c r="W73" s="79"/>
    </row>
    <row r="74" spans="1:23">
      <c r="A74" s="56" t="s">
        <v>89</v>
      </c>
      <c r="B74" s="4" t="s">
        <v>2</v>
      </c>
      <c r="C74" s="79" t="s">
        <v>4</v>
      </c>
      <c r="D74" s="79"/>
      <c r="E74" s="10" t="s">
        <v>5</v>
      </c>
      <c r="F74" s="10" t="s">
        <v>6</v>
      </c>
      <c r="G74" s="79" t="s">
        <v>7</v>
      </c>
      <c r="H74" s="79"/>
      <c r="I74" s="79"/>
      <c r="J74" s="79" t="s">
        <v>8</v>
      </c>
      <c r="K74" s="79"/>
      <c r="L74" s="79"/>
      <c r="M74" s="79" t="s">
        <v>10</v>
      </c>
      <c r="N74" s="79"/>
      <c r="O74" s="79"/>
      <c r="P74" s="79" t="s">
        <v>11</v>
      </c>
      <c r="Q74" s="79"/>
      <c r="R74" s="10" t="s">
        <v>9</v>
      </c>
      <c r="S74" s="10" t="s">
        <v>12</v>
      </c>
      <c r="T74" s="10" t="s">
        <v>13</v>
      </c>
      <c r="U74" s="80">
        <f ca="1">ROUNDDOWN(SUM(D76, E75, G76, J76, M76, P76, R76, S75, T75), -1)</f>
        <v>3320000</v>
      </c>
      <c r="V74" s="80"/>
      <c r="W74" s="80"/>
    </row>
    <row r="75" spans="1:23">
      <c r="A75" s="56" t="s">
        <v>95</v>
      </c>
      <c r="B75" s="17">
        <v>46132</v>
      </c>
      <c r="C75" s="10">
        <v>209</v>
      </c>
      <c r="D75" s="11">
        <v>10320</v>
      </c>
      <c r="E75" s="12"/>
      <c r="F75" s="12"/>
      <c r="G75" s="13">
        <v>5</v>
      </c>
      <c r="H75" s="13">
        <f>G75*365/84</f>
        <v>21.726190476190474</v>
      </c>
      <c r="I75" s="11">
        <f>B73 * 1.5</f>
        <v>15480</v>
      </c>
      <c r="J75" s="58">
        <v>9</v>
      </c>
      <c r="K75" s="10">
        <f>J75*365/84</f>
        <v>39.107142857142854</v>
      </c>
      <c r="L75" s="11">
        <f>B73 * 1.5</f>
        <v>15480</v>
      </c>
      <c r="M75" s="10">
        <v>3</v>
      </c>
      <c r="N75" s="10">
        <f>M75*365/84</f>
        <v>13.035714285714286</v>
      </c>
      <c r="O75" s="15">
        <f>B73*0.5</f>
        <v>5160</v>
      </c>
      <c r="P75" s="54">
        <f>B73 * 12</f>
        <v>123840</v>
      </c>
      <c r="Q75" s="10">
        <f ca="1">IF(DATEDIF(B75, EOMONTH(NOW(), 0), "Y") &lt; 1, 11, MIN(25, 15 + INT((DATEDIF(B75, EOMONTH(NOW(), 0), "Y") - 1) / 2)))</f>
        <v>11</v>
      </c>
      <c r="R75" s="16"/>
      <c r="S75" s="81">
        <v>40640</v>
      </c>
      <c r="T75" s="83"/>
      <c r="U75" s="80"/>
      <c r="V75" s="80"/>
      <c r="W75" s="80"/>
    </row>
    <row r="76" spans="1:23">
      <c r="A76" s="18">
        <f ca="1">U74/C76</f>
        <v>11057.452123230642</v>
      </c>
      <c r="B76" s="4" t="s">
        <v>17</v>
      </c>
      <c r="C76" s="10">
        <f>SUM(C75, H75*1.5, K75*1.5)</f>
        <v>300.25</v>
      </c>
      <c r="D76" s="80">
        <f>(D75 * C75)  + F75</f>
        <v>2156880</v>
      </c>
      <c r="E76" s="79"/>
      <c r="F76" s="79"/>
      <c r="G76" s="80">
        <f>H75 * I75</f>
        <v>336321.42857142852</v>
      </c>
      <c r="H76" s="79"/>
      <c r="I76" s="79"/>
      <c r="J76" s="80">
        <f>K75 * L75</f>
        <v>605378.57142857136</v>
      </c>
      <c r="K76" s="79"/>
      <c r="L76" s="79"/>
      <c r="M76" s="85">
        <f>N75*O75</f>
        <v>67264.285714285725</v>
      </c>
      <c r="N76" s="79"/>
      <c r="O76" s="79"/>
      <c r="P76" s="80">
        <f ca="1">ROUND((P75 * Q75) / 12, -1)</f>
        <v>113520</v>
      </c>
      <c r="Q76" s="80"/>
      <c r="R76" s="15">
        <f>B73*0.5*R75</f>
        <v>0</v>
      </c>
      <c r="S76" s="82"/>
      <c r="T76" s="84"/>
      <c r="U76" s="10" t="s">
        <v>19</v>
      </c>
      <c r="V76" s="87">
        <f>D76+F75+G76+L76+M76</f>
        <v>2560465.7142857146</v>
      </c>
      <c r="W76" s="88"/>
    </row>
    <row r="80" spans="1:23">
      <c r="A80" s="2" t="s">
        <v>96</v>
      </c>
      <c r="B80" s="57">
        <f>(A83+F82)/C83</f>
        <v>10666.181975549063</v>
      </c>
      <c r="C80" s="79" t="s">
        <v>3</v>
      </c>
      <c r="D80" s="79"/>
      <c r="E80" s="79"/>
      <c r="F80" s="79"/>
      <c r="G80" s="79" t="s">
        <v>14</v>
      </c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 t="s">
        <v>15</v>
      </c>
      <c r="S80" s="79"/>
      <c r="T80" s="79"/>
      <c r="U80" s="79" t="s">
        <v>18</v>
      </c>
      <c r="V80" s="79"/>
      <c r="W80" s="79"/>
    </row>
    <row r="81" spans="1:31">
      <c r="A81" s="61">
        <v>24</v>
      </c>
      <c r="B81" s="2" t="s">
        <v>97</v>
      </c>
      <c r="C81" s="79" t="s">
        <v>4</v>
      </c>
      <c r="D81" s="79"/>
      <c r="E81" s="10" t="s">
        <v>5</v>
      </c>
      <c r="F81" s="10" t="s">
        <v>6</v>
      </c>
      <c r="G81" s="79" t="s">
        <v>7</v>
      </c>
      <c r="H81" s="79"/>
      <c r="I81" s="79"/>
      <c r="J81" s="79" t="s">
        <v>8</v>
      </c>
      <c r="K81" s="79"/>
      <c r="L81" s="79"/>
      <c r="M81" s="79" t="s">
        <v>10</v>
      </c>
      <c r="N81" s="79"/>
      <c r="O81" s="79"/>
      <c r="P81" s="79" t="s">
        <v>11</v>
      </c>
      <c r="Q81" s="79"/>
      <c r="R81" s="10" t="s">
        <v>9</v>
      </c>
      <c r="S81" s="10" t="s">
        <v>12</v>
      </c>
      <c r="T81" s="10" t="s">
        <v>13</v>
      </c>
      <c r="U81" s="80">
        <f ca="1">ROUNDDOWN(SUM(D83, G83, J83, M83, R83, S82,P83, T82,), -1)</f>
        <v>3270400</v>
      </c>
      <c r="V81" s="80"/>
      <c r="W81" s="80"/>
      <c r="X81" s="63" t="s">
        <v>98</v>
      </c>
    </row>
    <row r="82" spans="1:31">
      <c r="A82" s="60">
        <v>3200000</v>
      </c>
      <c r="B82" s="19">
        <v>45659</v>
      </c>
      <c r="C82" s="10">
        <v>209</v>
      </c>
      <c r="D82" s="11">
        <v>10320</v>
      </c>
      <c r="E82" s="21">
        <v>200000</v>
      </c>
      <c r="F82" s="21">
        <v>100000</v>
      </c>
      <c r="G82" s="13">
        <v>7.5</v>
      </c>
      <c r="H82" s="13">
        <f>G82*365/84</f>
        <v>32.589285714285715</v>
      </c>
      <c r="I82" s="11">
        <f>B80 * 1.5</f>
        <v>15999.272963323594</v>
      </c>
      <c r="J82" s="58">
        <v>4.75</v>
      </c>
      <c r="K82" s="10">
        <f>J82*365/84</f>
        <v>20.639880952380953</v>
      </c>
      <c r="L82" s="11">
        <f>B80 * 1.5</f>
        <v>15999.272963323594</v>
      </c>
      <c r="M82" s="10"/>
      <c r="N82" s="10">
        <v>0</v>
      </c>
      <c r="O82" s="15">
        <f>B80*0.5</f>
        <v>5333.0909877745316</v>
      </c>
      <c r="P82" s="54">
        <f xml:space="preserve"> ROUND((D83 + G83 + J83 + M83) / 24, -1)</f>
        <v>129520</v>
      </c>
      <c r="Q82" s="10">
        <f ca="1">IF(DATEDIF(B82, EOMONTH(NOW(), 0), "Y") &lt; 1, 11, MIN(25, 15 + INT((DATEDIF(B82, EOMONTH(NOW(), 0), "Y") - 1) / 2)))</f>
        <v>15</v>
      </c>
      <c r="R82" s="22"/>
      <c r="S82" s="89"/>
      <c r="T82" s="91"/>
      <c r="U82" s="80"/>
      <c r="V82" s="80"/>
      <c r="W82" s="80"/>
      <c r="X82" t="s">
        <v>101</v>
      </c>
    </row>
    <row r="83" spans="1:31">
      <c r="A83" s="62">
        <v>2980860</v>
      </c>
      <c r="B83" s="2" t="s">
        <v>25</v>
      </c>
      <c r="C83" s="10">
        <f>SUM(C82, H82*1.5, K82*1.5)</f>
        <v>288.84375</v>
      </c>
      <c r="D83" s="80">
        <f>(D82 * C82)+F82</f>
        <v>2256880</v>
      </c>
      <c r="E83" s="79"/>
      <c r="F83" s="79"/>
      <c r="G83" s="80">
        <f>H82 * I82</f>
        <v>521404.87782259926</v>
      </c>
      <c r="H83" s="79"/>
      <c r="I83" s="79"/>
      <c r="J83" s="80">
        <f>K82 * L82</f>
        <v>330223.08928764623</v>
      </c>
      <c r="K83" s="79"/>
      <c r="L83" s="79"/>
      <c r="M83" s="85">
        <f>N82*O82</f>
        <v>0</v>
      </c>
      <c r="N83" s="79"/>
      <c r="O83" s="79"/>
      <c r="P83" s="80">
        <f ca="1">ROUND((P82 * Q82) / 12, -1)</f>
        <v>161900</v>
      </c>
      <c r="Q83" s="80"/>
      <c r="R83" s="15">
        <f>B80*0.5*R82</f>
        <v>0</v>
      </c>
      <c r="S83" s="90"/>
      <c r="T83" s="92"/>
      <c r="U83" s="10" t="s">
        <v>19</v>
      </c>
      <c r="V83" s="87">
        <f>D83-F82+G83+J83+M83</f>
        <v>3008507.9671102455</v>
      </c>
      <c r="W83" s="88"/>
    </row>
    <row r="86" spans="1:31">
      <c r="A86" s="2" t="s">
        <v>96</v>
      </c>
      <c r="B86" s="3">
        <f>( (D88 * 209) + F88 ) / 209</f>
        <v>10798.468899521531</v>
      </c>
      <c r="C86" s="79" t="s">
        <v>3</v>
      </c>
      <c r="D86" s="79"/>
      <c r="E86" s="79"/>
      <c r="F86" s="79"/>
      <c r="G86" s="79" t="s">
        <v>14</v>
      </c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 t="s">
        <v>15</v>
      </c>
      <c r="S86" s="79"/>
      <c r="T86" s="79"/>
      <c r="U86" s="79" t="s">
        <v>18</v>
      </c>
      <c r="V86" s="79"/>
      <c r="W86" s="79"/>
    </row>
    <row r="87" spans="1:31">
      <c r="A87" s="8" t="s">
        <v>0</v>
      </c>
      <c r="B87" s="4" t="s">
        <v>97</v>
      </c>
      <c r="C87" s="79" t="s">
        <v>4</v>
      </c>
      <c r="D87" s="79"/>
      <c r="E87" s="10" t="s">
        <v>5</v>
      </c>
      <c r="F87" s="10" t="s">
        <v>6</v>
      </c>
      <c r="G87" s="79" t="s">
        <v>7</v>
      </c>
      <c r="H87" s="79"/>
      <c r="I87" s="79"/>
      <c r="J87" s="79" t="s">
        <v>8</v>
      </c>
      <c r="K87" s="79"/>
      <c r="L87" s="79"/>
      <c r="M87" s="79" t="s">
        <v>10</v>
      </c>
      <c r="N87" s="79"/>
      <c r="O87" s="79"/>
      <c r="P87" s="79" t="s">
        <v>11</v>
      </c>
      <c r="Q87" s="79"/>
      <c r="R87" s="10" t="s">
        <v>9</v>
      </c>
      <c r="S87" s="10" t="s">
        <v>12</v>
      </c>
      <c r="T87" s="10" t="s">
        <v>13</v>
      </c>
      <c r="U87" s="80">
        <f ca="1">ROUNDDOWN(SUM(D89, G89, J89, M89, P89, R89, S88, T88), -1)</f>
        <v>3619410</v>
      </c>
      <c r="V87" s="80"/>
      <c r="W87" s="80"/>
    </row>
    <row r="88" spans="1:31">
      <c r="A88" s="8" t="s">
        <v>1</v>
      </c>
      <c r="B88" s="17">
        <v>45659</v>
      </c>
      <c r="C88" s="10">
        <v>209</v>
      </c>
      <c r="D88" s="11">
        <v>10320</v>
      </c>
      <c r="E88" s="12">
        <v>200000</v>
      </c>
      <c r="F88" s="12">
        <v>100000</v>
      </c>
      <c r="G88" s="13">
        <v>7.5</v>
      </c>
      <c r="H88" s="13">
        <f>G88*365/84</f>
        <v>32.589285714285715</v>
      </c>
      <c r="I88" s="11">
        <f>B86 * 1.5</f>
        <v>16197.703349282296</v>
      </c>
      <c r="J88" s="58">
        <v>9.5</v>
      </c>
      <c r="K88" s="10">
        <f>J88*365/84</f>
        <v>41.279761904761905</v>
      </c>
      <c r="L88" s="11">
        <f>B86 * 1.5</f>
        <v>16197.703349282296</v>
      </c>
      <c r="M88" s="10"/>
      <c r="N88" s="10">
        <v>0</v>
      </c>
      <c r="O88" s="15">
        <f>B86*0.5</f>
        <v>5399.2344497607655</v>
      </c>
      <c r="P88" s="54">
        <f xml:space="preserve"> ROUND((D89 + G89 + J89 + M89) / 26, -1)</f>
        <v>132820</v>
      </c>
      <c r="Q88" s="10">
        <f ca="1">IF(DATEDIF(B88, EOMONTH(NOW(), 0), "Y") &lt; 1, 11, MIN(25, 15 + INT((DATEDIF(B88, EOMONTH(NOW(), 0), "Y") - 1) / 2)))</f>
        <v>15</v>
      </c>
      <c r="R88" s="16"/>
      <c r="S88" s="83"/>
      <c r="T88" s="83"/>
      <c r="U88" s="80"/>
      <c r="V88" s="80"/>
      <c r="W88" s="80"/>
    </row>
    <row r="89" spans="1:31">
      <c r="A89" s="18">
        <f ca="1">U87/C89</f>
        <v>11317.603439611368</v>
      </c>
      <c r="B89" s="4" t="s">
        <v>17</v>
      </c>
      <c r="C89" s="10">
        <f>SUM(C88, H88*1.5, K88*1.5)</f>
        <v>319.80357142857144</v>
      </c>
      <c r="D89" s="80">
        <f>(D88 * 209)  + F88</f>
        <v>2256880</v>
      </c>
      <c r="E89" s="79"/>
      <c r="F89" s="79"/>
      <c r="G89" s="80">
        <f>H88 * I88</f>
        <v>527871.58236500341</v>
      </c>
      <c r="H89" s="79"/>
      <c r="I89" s="79"/>
      <c r="J89" s="80">
        <f>K88 * L88</f>
        <v>668637.33766233758</v>
      </c>
      <c r="K89" s="79"/>
      <c r="L89" s="79"/>
      <c r="M89" s="85">
        <f>N88*O88</f>
        <v>0</v>
      </c>
      <c r="N89" s="79"/>
      <c r="O89" s="79"/>
      <c r="P89" s="80">
        <f ca="1">ROUND((P88 * Q88) / 12, -1)</f>
        <v>166030</v>
      </c>
      <c r="Q89" s="80"/>
      <c r="R89" s="15">
        <f>B86*0.5*R88</f>
        <v>0</v>
      </c>
      <c r="S89" s="84"/>
      <c r="T89" s="84"/>
      <c r="U89" s="10" t="s">
        <v>19</v>
      </c>
      <c r="V89" s="87">
        <f>D89+F88+G89+L89+M89</f>
        <v>2884751.5823650034</v>
      </c>
      <c r="W89" s="88"/>
    </row>
    <row r="90" spans="1:31">
      <c r="A90" s="107"/>
      <c r="B90" s="107"/>
      <c r="C90" s="107"/>
      <c r="D90" s="107"/>
      <c r="E90" s="107"/>
      <c r="F90" s="107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</row>
    <row r="91" spans="1:31">
      <c r="A91" s="107"/>
      <c r="B91" s="107"/>
      <c r="C91" s="107"/>
      <c r="D91" s="107"/>
      <c r="E91" s="107"/>
      <c r="F91" s="107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</row>
    <row r="92" spans="1:31">
      <c r="A92" s="74" t="s">
        <v>96</v>
      </c>
      <c r="B92" s="20">
        <f>(A95+F94)/C95</f>
        <v>10626.36806231743</v>
      </c>
      <c r="C92" s="79" t="s">
        <v>3</v>
      </c>
      <c r="D92" s="79"/>
      <c r="E92" s="79"/>
      <c r="F92" s="79"/>
      <c r="G92" s="79" t="s">
        <v>14</v>
      </c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 t="s">
        <v>15</v>
      </c>
      <c r="S92" s="79"/>
      <c r="T92" s="79"/>
      <c r="U92" s="79" t="s">
        <v>18</v>
      </c>
      <c r="V92" s="79"/>
      <c r="W92" s="79"/>
    </row>
    <row r="93" spans="1:31">
      <c r="A93" s="9" t="s">
        <v>20</v>
      </c>
      <c r="B93" s="2" t="s">
        <v>97</v>
      </c>
      <c r="C93" s="79" t="s">
        <v>4</v>
      </c>
      <c r="D93" s="79"/>
      <c r="E93" s="10" t="s">
        <v>5</v>
      </c>
      <c r="F93" s="10" t="s">
        <v>6</v>
      </c>
      <c r="G93" s="79" t="s">
        <v>7</v>
      </c>
      <c r="H93" s="79"/>
      <c r="I93" s="79"/>
      <c r="J93" s="79" t="s">
        <v>8</v>
      </c>
      <c r="K93" s="79"/>
      <c r="L93" s="79"/>
      <c r="M93" s="79" t="s">
        <v>10</v>
      </c>
      <c r="N93" s="79"/>
      <c r="O93" s="79"/>
      <c r="P93" s="79" t="s">
        <v>11</v>
      </c>
      <c r="Q93" s="79"/>
      <c r="R93" s="10" t="s">
        <v>9</v>
      </c>
      <c r="S93" s="10" t="s">
        <v>12</v>
      </c>
      <c r="T93" s="10" t="s">
        <v>13</v>
      </c>
      <c r="U93" s="80">
        <f ca="1">ROUNDDOWN(SUM(D95, G95, J95, M95, P95, R95, S94, T94), -1)</f>
        <v>3200090</v>
      </c>
      <c r="V93" s="80"/>
      <c r="W93" s="80"/>
      <c r="X93" s="63" t="s">
        <v>104</v>
      </c>
      <c r="Y93" s="64"/>
      <c r="Z93" s="66" t="s">
        <v>107</v>
      </c>
    </row>
    <row r="94" spans="1:31">
      <c r="A94" s="9" t="s">
        <v>21</v>
      </c>
      <c r="B94" s="19">
        <v>45659</v>
      </c>
      <c r="C94" s="10">
        <v>209</v>
      </c>
      <c r="D94" s="11">
        <v>10320</v>
      </c>
      <c r="E94" s="21">
        <v>200000</v>
      </c>
      <c r="F94" s="21">
        <v>88500</v>
      </c>
      <c r="G94" s="13">
        <v>7.5</v>
      </c>
      <c r="H94" s="13">
        <f>G94*365/84</f>
        <v>32.589285714285715</v>
      </c>
      <c r="I94" s="11">
        <f>B92 * 1.5</f>
        <v>15939.552093476144</v>
      </c>
      <c r="J94" s="58">
        <v>4.75</v>
      </c>
      <c r="K94" s="10">
        <f>J94*365/84</f>
        <v>20.639880952380953</v>
      </c>
      <c r="L94" s="11">
        <f>B92 * 1.5</f>
        <v>15939.552093476144</v>
      </c>
      <c r="M94" s="10"/>
      <c r="N94" s="10">
        <v>0</v>
      </c>
      <c r="O94" s="15">
        <f>B92*0.5</f>
        <v>5313.1840311587148</v>
      </c>
      <c r="P94" s="54">
        <f>B92*8</f>
        <v>85010.944498539437</v>
      </c>
      <c r="Q94" s="12">
        <f ca="1">IF(DATEDIF(B94, TODAY(), "m") &lt; 1, 0,
  IF(DATEDIF(B94, TODAY(), "y") &lt; 1, 8,
    MIN(25, 15 + INT((DATEDIF(B94, TODAY(), "y") - 1) / 2)) * 8 / 12
  )
)</f>
        <v>10</v>
      </c>
      <c r="R94" s="22"/>
      <c r="S94" s="89"/>
      <c r="T94" s="91"/>
      <c r="U94" s="80"/>
      <c r="V94" s="80"/>
      <c r="W94" s="80"/>
      <c r="Y94" s="65"/>
    </row>
    <row r="95" spans="1:31">
      <c r="A95" s="18">
        <v>2980860</v>
      </c>
      <c r="B95" s="2" t="s">
        <v>25</v>
      </c>
      <c r="C95" s="10">
        <f>SUM(C94, H94*1.5, K94*1.5)</f>
        <v>288.84375</v>
      </c>
      <c r="D95" s="80">
        <f>(D94 * 209) +  F94</f>
        <v>2245380</v>
      </c>
      <c r="E95" s="79"/>
      <c r="F95" s="79"/>
      <c r="G95" s="80">
        <f>H94 * I94</f>
        <v>519458.61733203509</v>
      </c>
      <c r="H95" s="79"/>
      <c r="I95" s="79"/>
      <c r="J95" s="80">
        <f>K94 * L94</f>
        <v>328990.45764362218</v>
      </c>
      <c r="K95" s="79"/>
      <c r="L95" s="79"/>
      <c r="M95" s="85">
        <f>N94*O94</f>
        <v>0</v>
      </c>
      <c r="N95" s="79"/>
      <c r="O95" s="79"/>
      <c r="P95" s="80">
        <f ca="1">B92*Q94</f>
        <v>106263.6806231743</v>
      </c>
      <c r="Q95" s="80"/>
      <c r="R95" s="15">
        <f>B92*0.5*R94</f>
        <v>0</v>
      </c>
      <c r="S95" s="90"/>
      <c r="T95" s="92"/>
      <c r="U95" s="10" t="s">
        <v>19</v>
      </c>
      <c r="V95" s="87">
        <f>D95+G95+J95+M95</f>
        <v>3093829.0749756573</v>
      </c>
      <c r="W95" s="88"/>
    </row>
    <row r="98" spans="1:27">
      <c r="A98" s="74" t="s">
        <v>96</v>
      </c>
      <c r="B98" s="20">
        <f>(A101+F100)/C101</f>
        <v>11185.493887266039</v>
      </c>
      <c r="C98" s="79" t="s">
        <v>3</v>
      </c>
      <c r="D98" s="79"/>
      <c r="E98" s="79"/>
      <c r="F98" s="79"/>
      <c r="G98" s="79" t="s">
        <v>14</v>
      </c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 t="s">
        <v>15</v>
      </c>
      <c r="S98" s="79"/>
      <c r="T98" s="79"/>
      <c r="U98" s="79" t="s">
        <v>18</v>
      </c>
      <c r="V98" s="79"/>
      <c r="W98" s="79"/>
    </row>
    <row r="99" spans="1:27">
      <c r="A99" s="9" t="s">
        <v>20</v>
      </c>
      <c r="B99" s="2" t="s">
        <v>99</v>
      </c>
      <c r="C99" s="79" t="s">
        <v>4</v>
      </c>
      <c r="D99" s="79"/>
      <c r="E99" s="10" t="s">
        <v>5</v>
      </c>
      <c r="F99" s="10" t="s">
        <v>6</v>
      </c>
      <c r="G99" s="79" t="s">
        <v>7</v>
      </c>
      <c r="H99" s="79"/>
      <c r="I99" s="79"/>
      <c r="J99" s="79" t="s">
        <v>8</v>
      </c>
      <c r="K99" s="79"/>
      <c r="L99" s="79"/>
      <c r="M99" s="79" t="s">
        <v>10</v>
      </c>
      <c r="N99" s="79"/>
      <c r="O99" s="79"/>
      <c r="P99" s="79" t="s">
        <v>11</v>
      </c>
      <c r="Q99" s="79"/>
      <c r="R99" s="10" t="s">
        <v>9</v>
      </c>
      <c r="S99" s="10" t="s">
        <v>12</v>
      </c>
      <c r="T99" s="10" t="s">
        <v>13</v>
      </c>
      <c r="U99" s="80">
        <f ca="1">ROUNDDOWN(SUM(D101, G101, J101, M101, P101, R101, S100, T100), -1)</f>
        <v>3500000</v>
      </c>
      <c r="V99" s="80"/>
      <c r="W99" s="80"/>
      <c r="X99" s="63" t="s">
        <v>102</v>
      </c>
    </row>
    <row r="100" spans="1:27">
      <c r="A100" s="9" t="s">
        <v>21</v>
      </c>
      <c r="B100" s="19">
        <v>45700</v>
      </c>
      <c r="C100" s="10">
        <v>209</v>
      </c>
      <c r="D100" s="11">
        <v>10320</v>
      </c>
      <c r="E100" s="21">
        <v>200000</v>
      </c>
      <c r="F100" s="21">
        <v>250000</v>
      </c>
      <c r="G100" s="13">
        <v>7.5</v>
      </c>
      <c r="H100" s="13">
        <f>G100*365/84</f>
        <v>32.589285714285715</v>
      </c>
      <c r="I100" s="11">
        <f>B98 * 1.5</f>
        <v>16778.240830899056</v>
      </c>
      <c r="J100" s="58">
        <v>4.75</v>
      </c>
      <c r="K100" s="10">
        <f>J100*365/84</f>
        <v>20.639880952380953</v>
      </c>
      <c r="L100" s="11">
        <f>B98 * 1.5</f>
        <v>16778.240830899056</v>
      </c>
      <c r="M100" s="10"/>
      <c r="N100" s="10">
        <v>0</v>
      </c>
      <c r="O100" s="15">
        <f>B98*0.5</f>
        <v>5592.7469436330193</v>
      </c>
      <c r="P100" s="54">
        <f>B98*8</f>
        <v>89483.951098128309</v>
      </c>
      <c r="Q100" s="10">
        <f ca="1">IF(DATEDIF(B100, TODAY(), "m") &lt; 1, 0,
  IF(DATEDIF(B100, TODAY(), "y") &lt; 1, 8,
    MIN(25, 15 + INT((DATEDIF(B100, TODAY(), "y") - 1) / 2)) * 8 / 12
  )
)</f>
        <v>10</v>
      </c>
      <c r="R100" s="22"/>
      <c r="S100" s="89">
        <v>88180</v>
      </c>
      <c r="T100" s="91"/>
      <c r="U100" s="80"/>
      <c r="V100" s="80"/>
      <c r="W100" s="80"/>
    </row>
    <row r="101" spans="1:27">
      <c r="A101" s="18">
        <v>2980860</v>
      </c>
      <c r="B101" s="2" t="s">
        <v>100</v>
      </c>
      <c r="C101" s="10">
        <f>SUM(C100, H100*1.5, K100*1.5)</f>
        <v>288.84375</v>
      </c>
      <c r="D101" s="80">
        <f>(D100 * 209) +  F100</f>
        <v>2406880</v>
      </c>
      <c r="E101" s="79"/>
      <c r="F101" s="79"/>
      <c r="G101" s="80">
        <f>H100 * I100</f>
        <v>546790.88422126393</v>
      </c>
      <c r="H101" s="79"/>
      <c r="I101" s="79"/>
      <c r="J101" s="80">
        <f>K100 * L100</f>
        <v>346300.89334013377</v>
      </c>
      <c r="K101" s="79"/>
      <c r="L101" s="79"/>
      <c r="M101" s="85">
        <f>N100*O100</f>
        <v>0</v>
      </c>
      <c r="N101" s="79"/>
      <c r="O101" s="79"/>
      <c r="P101" s="86">
        <f ca="1">B98*Q100</f>
        <v>111854.93887266039</v>
      </c>
      <c r="Q101" s="86"/>
      <c r="R101" s="15">
        <f>B98*0.5*R100</f>
        <v>0</v>
      </c>
      <c r="S101" s="90"/>
      <c r="T101" s="92"/>
      <c r="U101" s="10" t="s">
        <v>19</v>
      </c>
      <c r="V101" s="87">
        <f>D101+G101+J101+M101</f>
        <v>3299971.7775613978</v>
      </c>
      <c r="W101" s="88"/>
    </row>
    <row r="104" spans="1:27">
      <c r="A104" s="2" t="s">
        <v>96</v>
      </c>
      <c r="B104" s="3">
        <f>(A107+F106)/C107</f>
        <v>10350.009492433972</v>
      </c>
      <c r="C104" s="79" t="s">
        <v>3</v>
      </c>
      <c r="D104" s="79"/>
      <c r="E104" s="79"/>
      <c r="F104" s="79"/>
      <c r="G104" s="79" t="s">
        <v>14</v>
      </c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 t="s">
        <v>15</v>
      </c>
      <c r="S104" s="79"/>
      <c r="T104" s="79"/>
      <c r="U104" s="79" t="s">
        <v>18</v>
      </c>
      <c r="V104" s="79"/>
      <c r="W104" s="79"/>
    </row>
    <row r="105" spans="1:27">
      <c r="A105" s="8" t="s">
        <v>0</v>
      </c>
      <c r="B105" s="4" t="s">
        <v>105</v>
      </c>
      <c r="C105" s="79" t="s">
        <v>4</v>
      </c>
      <c r="D105" s="79"/>
      <c r="E105" s="10" t="s">
        <v>5</v>
      </c>
      <c r="F105" s="10" t="s">
        <v>6</v>
      </c>
      <c r="G105" s="79" t="s">
        <v>7</v>
      </c>
      <c r="H105" s="79"/>
      <c r="I105" s="79"/>
      <c r="J105" s="79" t="s">
        <v>8</v>
      </c>
      <c r="K105" s="79"/>
      <c r="L105" s="79"/>
      <c r="M105" s="79" t="s">
        <v>10</v>
      </c>
      <c r="N105" s="79"/>
      <c r="O105" s="79"/>
      <c r="P105" s="79" t="s">
        <v>11</v>
      </c>
      <c r="Q105" s="79"/>
      <c r="R105" s="10" t="s">
        <v>9</v>
      </c>
      <c r="S105" s="10" t="s">
        <v>12</v>
      </c>
      <c r="T105" s="10" t="s">
        <v>13</v>
      </c>
      <c r="U105" s="80">
        <f ca="1">ROUNDDOWN(SUM(D107, G107, J107, M107, P107, R107, S106, T106), -1)</f>
        <v>3416790</v>
      </c>
      <c r="V105" s="80"/>
      <c r="W105" s="80"/>
      <c r="X105" s="63"/>
      <c r="Y105" s="66" t="s">
        <v>113</v>
      </c>
      <c r="Z105" s="67"/>
      <c r="AA105" t="s">
        <v>115</v>
      </c>
    </row>
    <row r="106" spans="1:27">
      <c r="A106" s="8" t="s">
        <v>1</v>
      </c>
      <c r="B106" s="17">
        <v>45720</v>
      </c>
      <c r="C106" s="10">
        <v>209</v>
      </c>
      <c r="D106" s="11">
        <v>10320</v>
      </c>
      <c r="E106" s="12">
        <v>0</v>
      </c>
      <c r="F106" s="12">
        <v>9600</v>
      </c>
      <c r="G106" s="13">
        <v>7.5</v>
      </c>
      <c r="H106" s="13">
        <f>G106*365/84</f>
        <v>32.589285714285715</v>
      </c>
      <c r="I106" s="11">
        <f>B104 * 1.5</f>
        <v>15525.014238650958</v>
      </c>
      <c r="J106" s="58">
        <v>9.5</v>
      </c>
      <c r="K106" s="10">
        <f>J106*365/84</f>
        <v>41.279761904761905</v>
      </c>
      <c r="L106" s="11">
        <f>B104 * 1.5</f>
        <v>15525.014238650958</v>
      </c>
      <c r="M106" s="10"/>
      <c r="N106" s="10">
        <v>0</v>
      </c>
      <c r="O106" s="15">
        <f>B104*0.5</f>
        <v>5175.004746216986</v>
      </c>
      <c r="P106" s="54">
        <f>B104*8</f>
        <v>82800.075939471775</v>
      </c>
      <c r="Q106" s="10">
        <f ca="1">IF(DATEDIF(B106, TODAY(), "m") &lt; 1, 0,
  IF(DATEDIF(B106, TODAY(), "y") &lt; 1, 8,
    MIN(25, 15 + INT((DATEDIF(B106, TODAY(), "y") - 1) / 2)) * 8 / 12
  )
)</f>
        <v>10</v>
      </c>
      <c r="R106" s="16"/>
      <c r="S106" s="83"/>
      <c r="T106" s="83"/>
      <c r="U106" s="80"/>
      <c r="V106" s="80"/>
      <c r="W106" s="80"/>
    </row>
    <row r="107" spans="1:27">
      <c r="A107" s="18">
        <v>3300370</v>
      </c>
      <c r="B107" s="4" t="s">
        <v>17</v>
      </c>
      <c r="C107" s="10">
        <f>SUM(C106, H106*1.5, K106*1.5)</f>
        <v>319.80357142857144</v>
      </c>
      <c r="D107" s="80">
        <f>(D106 * 209)  + F106</f>
        <v>2166480</v>
      </c>
      <c r="E107" s="79"/>
      <c r="F107" s="79"/>
      <c r="G107" s="80">
        <f>H106 * I106</f>
        <v>505949.12474174995</v>
      </c>
      <c r="H107" s="79"/>
      <c r="I107" s="79"/>
      <c r="J107" s="80">
        <f>K106 * L106</f>
        <v>640868.89133954991</v>
      </c>
      <c r="K107" s="79"/>
      <c r="L107" s="79"/>
      <c r="M107" s="85">
        <f>N106*O106</f>
        <v>0</v>
      </c>
      <c r="N107" s="79"/>
      <c r="O107" s="79"/>
      <c r="P107" s="80">
        <f ca="1">B104*Q106</f>
        <v>103500.09492433972</v>
      </c>
      <c r="Q107" s="80"/>
      <c r="R107" s="15">
        <f>B104*0.5*R106</f>
        <v>0</v>
      </c>
      <c r="S107" s="84"/>
      <c r="T107" s="84"/>
      <c r="U107" s="10" t="s">
        <v>19</v>
      </c>
      <c r="V107" s="87">
        <f>D107+F106+G107+L107+M107</f>
        <v>2682029.1247417498</v>
      </c>
      <c r="W107" s="88"/>
    </row>
    <row r="110" spans="1:27">
      <c r="A110" s="2" t="s">
        <v>96</v>
      </c>
      <c r="B110" s="20">
        <f>(A113+F112)/C113</f>
        <v>10493.07800497674</v>
      </c>
      <c r="C110" s="79" t="s">
        <v>3</v>
      </c>
      <c r="D110" s="79"/>
      <c r="E110" s="79"/>
      <c r="F110" s="79"/>
      <c r="G110" s="79" t="s">
        <v>14</v>
      </c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 t="s">
        <v>15</v>
      </c>
      <c r="S110" s="79"/>
      <c r="T110" s="79"/>
      <c r="U110" s="79" t="s">
        <v>18</v>
      </c>
      <c r="V110" s="79"/>
      <c r="W110" s="79"/>
    </row>
    <row r="111" spans="1:27">
      <c r="A111" s="9" t="s">
        <v>20</v>
      </c>
      <c r="B111" s="2" t="s">
        <v>108</v>
      </c>
      <c r="C111" s="79" t="s">
        <v>4</v>
      </c>
      <c r="D111" s="79"/>
      <c r="E111" s="10" t="s">
        <v>5</v>
      </c>
      <c r="F111" s="10" t="s">
        <v>6</v>
      </c>
      <c r="G111" s="79" t="s">
        <v>7</v>
      </c>
      <c r="H111" s="79"/>
      <c r="I111" s="79"/>
      <c r="J111" s="79" t="s">
        <v>8</v>
      </c>
      <c r="K111" s="79"/>
      <c r="L111" s="79"/>
      <c r="M111" s="79" t="s">
        <v>10</v>
      </c>
      <c r="N111" s="79"/>
      <c r="O111" s="79"/>
      <c r="P111" s="79" t="s">
        <v>11</v>
      </c>
      <c r="Q111" s="79"/>
      <c r="R111" s="10" t="s">
        <v>9</v>
      </c>
      <c r="S111" s="10" t="s">
        <v>12</v>
      </c>
      <c r="T111" s="10" t="s">
        <v>13</v>
      </c>
      <c r="U111" s="80">
        <f ca="1">ROUNDDOWN(SUM(D113, G113, J113, M113, P113, R113, S112, T112), -1)</f>
        <v>3170980</v>
      </c>
      <c r="V111" s="80"/>
      <c r="W111" s="80"/>
      <c r="X111" s="63" t="s">
        <v>109</v>
      </c>
    </row>
    <row r="112" spans="1:27">
      <c r="A112" s="9" t="s">
        <v>21</v>
      </c>
      <c r="B112" s="19">
        <v>45792</v>
      </c>
      <c r="C112" s="10">
        <v>209</v>
      </c>
      <c r="D112" s="11">
        <v>10320</v>
      </c>
      <c r="E112" s="21">
        <v>200000</v>
      </c>
      <c r="F112" s="21">
        <v>50000</v>
      </c>
      <c r="G112" s="13">
        <v>7.5</v>
      </c>
      <c r="H112" s="13">
        <f>G112*365/84</f>
        <v>32.589285714285715</v>
      </c>
      <c r="I112" s="11">
        <f>B110 * 1.5</f>
        <v>15739.617007465109</v>
      </c>
      <c r="J112" s="58">
        <v>4.75</v>
      </c>
      <c r="K112" s="10">
        <f>J112*365/84</f>
        <v>20.639880952380953</v>
      </c>
      <c r="L112" s="11">
        <f>B110 * 1.5</f>
        <v>15739.617007465109</v>
      </c>
      <c r="M112" s="10"/>
      <c r="N112" s="10">
        <v>0</v>
      </c>
      <c r="O112" s="15">
        <f>B110*0.5</f>
        <v>5246.53900248837</v>
      </c>
      <c r="P112" s="54">
        <f>B110*8</f>
        <v>83944.62403981392</v>
      </c>
      <c r="Q112" s="10">
        <f ca="1">IF(DATEDIF(B112, TODAY(), "m") &lt; 1, 0,
  IF(DATEDIF(B112, TODAY(), "y") &lt; 1, 8,
    MIN(25, 15 + INT((DATEDIF(B112, TODAY(), "y") - 1) / 2)) * 8 / 12
  )
)</f>
        <v>10</v>
      </c>
      <c r="R112" s="22"/>
      <c r="S112" s="89">
        <v>21370</v>
      </c>
      <c r="T112" s="91"/>
      <c r="U112" s="80"/>
      <c r="V112" s="80"/>
      <c r="W112" s="80"/>
    </row>
    <row r="113" spans="1:28">
      <c r="A113" s="18">
        <v>2980860</v>
      </c>
      <c r="B113" s="2" t="s">
        <v>110</v>
      </c>
      <c r="C113" s="10">
        <f>SUM(C112, H112*1.5, K112*1.5)</f>
        <v>288.84375</v>
      </c>
      <c r="D113" s="80">
        <f>(D112 * 209) +  F112</f>
        <v>2206880</v>
      </c>
      <c r="E113" s="79"/>
      <c r="F113" s="79"/>
      <c r="G113" s="80">
        <f>H112 * I112</f>
        <v>512942.87568971113</v>
      </c>
      <c r="H113" s="79"/>
      <c r="I113" s="79"/>
      <c r="J113" s="80">
        <f>K112 * L112</f>
        <v>324863.82127015037</v>
      </c>
      <c r="K113" s="79"/>
      <c r="L113" s="79"/>
      <c r="M113" s="85">
        <f>N112*O112</f>
        <v>0</v>
      </c>
      <c r="N113" s="79"/>
      <c r="O113" s="79"/>
      <c r="P113" s="86">
        <f ca="1">B110*Q112</f>
        <v>104930.7800497674</v>
      </c>
      <c r="Q113" s="86"/>
      <c r="R113" s="15">
        <f>B110*0.5*R112</f>
        <v>0</v>
      </c>
      <c r="S113" s="90"/>
      <c r="T113" s="92"/>
      <c r="U113" s="10" t="s">
        <v>19</v>
      </c>
      <c r="V113" s="87">
        <f>D113+G113+J113+M113</f>
        <v>3044686.6969598616</v>
      </c>
      <c r="W113" s="88"/>
    </row>
    <row r="116" spans="1:28">
      <c r="A116" s="2" t="s">
        <v>96</v>
      </c>
      <c r="B116" s="3">
        <f>( (D118 * 209) + F118 ) / 209</f>
        <v>10320</v>
      </c>
      <c r="C116" s="79" t="s">
        <v>3</v>
      </c>
      <c r="D116" s="79"/>
      <c r="E116" s="79"/>
      <c r="F116" s="79"/>
      <c r="G116" s="79" t="s">
        <v>14</v>
      </c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 t="s">
        <v>15</v>
      </c>
      <c r="S116" s="79"/>
      <c r="T116" s="79"/>
      <c r="U116" s="79" t="s">
        <v>18</v>
      </c>
      <c r="V116" s="79"/>
      <c r="W116" s="79"/>
    </row>
    <row r="117" spans="1:28">
      <c r="A117" s="8" t="s">
        <v>0</v>
      </c>
      <c r="B117" s="4" t="s">
        <v>111</v>
      </c>
      <c r="C117" s="79" t="s">
        <v>4</v>
      </c>
      <c r="D117" s="79"/>
      <c r="E117" s="10" t="s">
        <v>5</v>
      </c>
      <c r="F117" s="10" t="s">
        <v>6</v>
      </c>
      <c r="G117" s="79" t="s">
        <v>7</v>
      </c>
      <c r="H117" s="79"/>
      <c r="I117" s="79"/>
      <c r="J117" s="79" t="s">
        <v>8</v>
      </c>
      <c r="K117" s="79"/>
      <c r="L117" s="79"/>
      <c r="M117" s="79" t="s">
        <v>10</v>
      </c>
      <c r="N117" s="79"/>
      <c r="O117" s="79"/>
      <c r="P117" s="79" t="s">
        <v>11</v>
      </c>
      <c r="Q117" s="79"/>
      <c r="R117" s="10" t="s">
        <v>9</v>
      </c>
      <c r="S117" s="10" t="s">
        <v>12</v>
      </c>
      <c r="T117" s="10" t="s">
        <v>13</v>
      </c>
      <c r="U117" s="80">
        <f ca="1">ROUNDDOWN(SUM(D119, G119, J119, M119, P119, R119, S118, T118), -1)</f>
        <v>3459050</v>
      </c>
      <c r="V117" s="80"/>
      <c r="W117" s="80"/>
      <c r="X117" s="63" t="s">
        <v>112</v>
      </c>
      <c r="Z117" s="66" t="s">
        <v>113</v>
      </c>
      <c r="AA117" s="67"/>
      <c r="AB117" t="s">
        <v>115</v>
      </c>
    </row>
    <row r="118" spans="1:28">
      <c r="A118" s="8" t="s">
        <v>1</v>
      </c>
      <c r="B118" s="17">
        <v>45824</v>
      </c>
      <c r="C118" s="10">
        <v>209</v>
      </c>
      <c r="D118" s="11">
        <v>10320</v>
      </c>
      <c r="E118" s="12">
        <v>0</v>
      </c>
      <c r="F118" s="12">
        <v>0</v>
      </c>
      <c r="G118" s="13">
        <v>7.5</v>
      </c>
      <c r="H118" s="13">
        <f>G118*365/84</f>
        <v>32.589285714285715</v>
      </c>
      <c r="I118" s="11">
        <f>B116 * 1.5</f>
        <v>15480</v>
      </c>
      <c r="J118" s="58">
        <v>9.5</v>
      </c>
      <c r="K118" s="10">
        <f>J118*365/84</f>
        <v>41.279761904761905</v>
      </c>
      <c r="L118" s="11">
        <f>B116 * 1.5</f>
        <v>15480</v>
      </c>
      <c r="M118" s="10"/>
      <c r="N118" s="10">
        <v>0</v>
      </c>
      <c r="O118" s="15">
        <f>B116*0.5</f>
        <v>5160</v>
      </c>
      <c r="P118" s="54">
        <f xml:space="preserve"> ROUND((D119 + G119 + J119 + M119) / 26, -1)</f>
        <v>126940</v>
      </c>
      <c r="Q118" s="10">
        <f ca="1">IF(DATEDIF(B118, EOMONTH(NOW(), 0), "Y") &lt; 1, 11, MIN(25, 15 + INT((DATEDIF(B118, EOMONTH(NOW(), 0), "Y") - 1) / 2)))</f>
        <v>15</v>
      </c>
      <c r="R118" s="16"/>
      <c r="S118" s="83"/>
      <c r="T118" s="83"/>
      <c r="U118" s="80"/>
      <c r="V118" s="80"/>
      <c r="W118" s="80"/>
    </row>
    <row r="119" spans="1:28">
      <c r="A119" s="18"/>
      <c r="B119" s="4" t="s">
        <v>17</v>
      </c>
      <c r="C119" s="10">
        <f>SUM(C118, H118*1.5, K118*1.5)</f>
        <v>319.80357142857144</v>
      </c>
      <c r="D119" s="80">
        <f>(D118 * 209)  + F118</f>
        <v>2156880</v>
      </c>
      <c r="E119" s="79"/>
      <c r="F119" s="79"/>
      <c r="G119" s="80">
        <f>H118 * I118</f>
        <v>504482.1428571429</v>
      </c>
      <c r="H119" s="79"/>
      <c r="I119" s="79"/>
      <c r="J119" s="80">
        <f>K118 * L118</f>
        <v>639010.71428571432</v>
      </c>
      <c r="K119" s="79"/>
      <c r="L119" s="79"/>
      <c r="M119" s="85">
        <f>N118*O118</f>
        <v>0</v>
      </c>
      <c r="N119" s="79"/>
      <c r="O119" s="79"/>
      <c r="P119" s="80">
        <f ca="1">ROUND((P118 * Q118) / 12, -1)</f>
        <v>158680</v>
      </c>
      <c r="Q119" s="80"/>
      <c r="R119" s="15">
        <f>B116*0.5*R118</f>
        <v>0</v>
      </c>
      <c r="S119" s="84"/>
      <c r="T119" s="84"/>
      <c r="U119" s="10" t="s">
        <v>19</v>
      </c>
      <c r="V119" s="87">
        <f>D119+F118+G119+L119+M119</f>
        <v>2661362.1428571427</v>
      </c>
      <c r="W119" s="88"/>
    </row>
    <row r="122" spans="1:28">
      <c r="A122" s="2" t="s">
        <v>96</v>
      </c>
      <c r="B122" s="20">
        <f>(A125+F124)/C125</f>
        <v>10319.974034404415</v>
      </c>
      <c r="C122" s="79" t="s">
        <v>3</v>
      </c>
      <c r="D122" s="79"/>
      <c r="E122" s="79"/>
      <c r="F122" s="79"/>
      <c r="G122" s="79" t="s">
        <v>14</v>
      </c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 t="s">
        <v>15</v>
      </c>
      <c r="S122" s="79"/>
      <c r="T122" s="79"/>
      <c r="U122" s="79" t="s">
        <v>18</v>
      </c>
      <c r="V122" s="79"/>
      <c r="W122" s="79"/>
    </row>
    <row r="123" spans="1:28">
      <c r="A123" s="9" t="s">
        <v>20</v>
      </c>
      <c r="B123" s="2" t="s">
        <v>114</v>
      </c>
      <c r="C123" s="79" t="s">
        <v>4</v>
      </c>
      <c r="D123" s="79"/>
      <c r="E123" s="10" t="s">
        <v>5</v>
      </c>
      <c r="F123" s="10" t="s">
        <v>6</v>
      </c>
      <c r="G123" s="79" t="s">
        <v>7</v>
      </c>
      <c r="H123" s="79"/>
      <c r="I123" s="79"/>
      <c r="J123" s="79" t="s">
        <v>8</v>
      </c>
      <c r="K123" s="79"/>
      <c r="L123" s="79"/>
      <c r="M123" s="79" t="s">
        <v>10</v>
      </c>
      <c r="N123" s="79"/>
      <c r="O123" s="79"/>
      <c r="P123" s="79" t="s">
        <v>11</v>
      </c>
      <c r="Q123" s="79"/>
      <c r="R123" s="10" t="s">
        <v>9</v>
      </c>
      <c r="S123" s="10" t="s">
        <v>12</v>
      </c>
      <c r="T123" s="10" t="s">
        <v>13</v>
      </c>
      <c r="U123" s="80">
        <f ca="1">ROUNDDOWN(SUM(D125, G125, J125, M125, P125, R125, S124, T124), -1)</f>
        <v>3100000</v>
      </c>
      <c r="V123" s="80"/>
      <c r="W123" s="80"/>
      <c r="Y123" s="63" t="s">
        <v>116</v>
      </c>
    </row>
    <row r="124" spans="1:28">
      <c r="A124" s="9" t="s">
        <v>21</v>
      </c>
      <c r="B124" s="19">
        <v>46024</v>
      </c>
      <c r="C124" s="10">
        <v>209</v>
      </c>
      <c r="D124" s="11">
        <v>10320</v>
      </c>
      <c r="E124" s="21"/>
      <c r="F124" s="21"/>
      <c r="G124" s="13">
        <v>7.5</v>
      </c>
      <c r="H124" s="13">
        <f>G124*365/84</f>
        <v>32.589285714285715</v>
      </c>
      <c r="I124" s="11">
        <f>B122 * 1.5</f>
        <v>15479.961051606622</v>
      </c>
      <c r="J124" s="58">
        <v>4.75</v>
      </c>
      <c r="K124" s="10">
        <f>J124*365/84</f>
        <v>20.639880952380953</v>
      </c>
      <c r="L124" s="11">
        <f>B122 * 1.5</f>
        <v>15479.961051606622</v>
      </c>
      <c r="M124" s="10"/>
      <c r="N124" s="10">
        <v>0</v>
      </c>
      <c r="O124" s="15">
        <f>B122*0.5</f>
        <v>5159.9870172022074</v>
      </c>
      <c r="P124" s="54">
        <f>B122*8</f>
        <v>82559.792275235319</v>
      </c>
      <c r="Q124" s="10">
        <f ca="1">IF(DATEDIF(B124, TODAY(), "m") &lt; 1, 0,
  IF(DATEDIF(B124, TODAY(), "y") &lt; 1, 8,
    MIN(25, 15 + INT((DATEDIF(B124, TODAY(), "y") - 1) / 2)) * 8 / 12
  )
)</f>
        <v>8</v>
      </c>
      <c r="R124" s="22"/>
      <c r="S124" s="89">
        <v>36580</v>
      </c>
      <c r="T124" s="91"/>
      <c r="U124" s="80"/>
      <c r="V124" s="80"/>
      <c r="W124" s="80"/>
    </row>
    <row r="125" spans="1:28">
      <c r="A125" s="18">
        <v>2980860</v>
      </c>
      <c r="B125" s="2" t="s">
        <v>110</v>
      </c>
      <c r="C125" s="10">
        <f>SUM(C124, H124*1.5, K124*1.5)</f>
        <v>288.84375</v>
      </c>
      <c r="D125" s="80">
        <f>(D124 * 209) +  F124</f>
        <v>2156880</v>
      </c>
      <c r="E125" s="79"/>
      <c r="F125" s="79"/>
      <c r="G125" s="80">
        <f>H124 * I124</f>
        <v>504480.87355682295</v>
      </c>
      <c r="H125" s="79"/>
      <c r="I125" s="79"/>
      <c r="J125" s="80">
        <f>K124 * L124</f>
        <v>319504.55325265456</v>
      </c>
      <c r="K125" s="79"/>
      <c r="L125" s="79"/>
      <c r="M125" s="85">
        <f>N124*O124</f>
        <v>0</v>
      </c>
      <c r="N125" s="79"/>
      <c r="O125" s="79"/>
      <c r="P125" s="86">
        <f ca="1">B122*Q124</f>
        <v>82559.792275235319</v>
      </c>
      <c r="Q125" s="86"/>
      <c r="R125" s="15">
        <f>B122*0.5*R124</f>
        <v>0</v>
      </c>
      <c r="S125" s="90"/>
      <c r="T125" s="92"/>
      <c r="U125" s="10" t="s">
        <v>19</v>
      </c>
      <c r="V125" s="87">
        <f>D125+G125+J125+M125</f>
        <v>2980865.4268094776</v>
      </c>
      <c r="W125" s="88"/>
    </row>
    <row r="128" spans="1:28">
      <c r="A128" s="2" t="s">
        <v>96</v>
      </c>
      <c r="B128" s="20">
        <f>(A131+F130)/C131</f>
        <v>10502.6875</v>
      </c>
      <c r="C128" s="79" t="s">
        <v>3</v>
      </c>
      <c r="D128" s="79"/>
      <c r="E128" s="79"/>
      <c r="F128" s="79"/>
      <c r="G128" s="79" t="s">
        <v>14</v>
      </c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 t="s">
        <v>15</v>
      </c>
      <c r="S128" s="79"/>
      <c r="T128" s="79"/>
      <c r="U128" s="79" t="s">
        <v>18</v>
      </c>
      <c r="V128" s="79"/>
      <c r="W128" s="79"/>
    </row>
    <row r="129" spans="1:25">
      <c r="A129" s="9" t="s">
        <v>20</v>
      </c>
      <c r="B129" s="2" t="s">
        <v>99</v>
      </c>
      <c r="C129" s="79" t="s">
        <v>4</v>
      </c>
      <c r="D129" s="79"/>
      <c r="E129" s="10" t="s">
        <v>5</v>
      </c>
      <c r="F129" s="10" t="s">
        <v>6</v>
      </c>
      <c r="G129" s="79" t="s">
        <v>7</v>
      </c>
      <c r="H129" s="79"/>
      <c r="I129" s="79"/>
      <c r="J129" s="79" t="s">
        <v>8</v>
      </c>
      <c r="K129" s="79"/>
      <c r="L129" s="79"/>
      <c r="M129" s="79" t="s">
        <v>10</v>
      </c>
      <c r="N129" s="79"/>
      <c r="O129" s="79"/>
      <c r="P129" s="79" t="s">
        <v>11</v>
      </c>
      <c r="Q129" s="79"/>
      <c r="R129" s="10" t="s">
        <v>9</v>
      </c>
      <c r="S129" s="10" t="s">
        <v>12</v>
      </c>
      <c r="T129" s="10" t="s">
        <v>13</v>
      </c>
      <c r="U129" s="80">
        <f ca="1">ROUNDDOWN(SUM(D131, G131, J131, M131, P131, R131, S130, T130), -1)</f>
        <v>3805640</v>
      </c>
      <c r="V129" s="80"/>
      <c r="W129" s="80"/>
    </row>
    <row r="130" spans="1:25">
      <c r="A130" s="9" t="s">
        <v>21</v>
      </c>
      <c r="B130" s="19">
        <v>45700</v>
      </c>
      <c r="C130" s="10">
        <v>209</v>
      </c>
      <c r="D130" s="11">
        <v>10320</v>
      </c>
      <c r="E130" s="21">
        <v>200000</v>
      </c>
      <c r="F130" s="21">
        <v>380000</v>
      </c>
      <c r="G130" s="13">
        <v>7.5</v>
      </c>
      <c r="H130" s="13">
        <f>G130*365/84</f>
        <v>32.589285714285715</v>
      </c>
      <c r="I130" s="11">
        <f>B128 * 1.5</f>
        <v>15754.03125</v>
      </c>
      <c r="J130" s="58">
        <v>9.5</v>
      </c>
      <c r="K130" s="10">
        <f>J130*365/84</f>
        <v>41.279761904761905</v>
      </c>
      <c r="L130" s="11">
        <f>B128 * 1.5</f>
        <v>15754.03125</v>
      </c>
      <c r="M130" s="10"/>
      <c r="N130" s="10">
        <v>0</v>
      </c>
      <c r="O130" s="15">
        <f>B128*0.5</f>
        <v>5251.34375</v>
      </c>
      <c r="P130" s="54">
        <f>B128*8</f>
        <v>84021.5</v>
      </c>
      <c r="Q130" s="10">
        <f ca="1">IF(DATEDIF(B130, TODAY(), "m") &lt; 1, 0,
  IF(DATEDIF(B130, TODAY(), "y") &lt; 1, 8,
    MIN(25, 15 + INT((DATEDIF(B130, TODAY(), "y") - 1) / 2)) * 8 / 12
  )
)</f>
        <v>10</v>
      </c>
      <c r="R130" s="22"/>
      <c r="S130" s="89"/>
      <c r="T130" s="91"/>
      <c r="U130" s="80"/>
      <c r="V130" s="80"/>
      <c r="W130" s="80"/>
    </row>
    <row r="131" spans="1:25">
      <c r="A131" s="18">
        <v>2980860</v>
      </c>
      <c r="B131" s="2" t="s">
        <v>100</v>
      </c>
      <c r="C131" s="10">
        <v>320</v>
      </c>
      <c r="D131" s="80">
        <f>(D130 * 209) +  F130</f>
        <v>2536880</v>
      </c>
      <c r="E131" s="79"/>
      <c r="F131" s="79"/>
      <c r="G131" s="80">
        <f>H130 * I130</f>
        <v>513412.62555803574</v>
      </c>
      <c r="H131" s="79"/>
      <c r="I131" s="79"/>
      <c r="J131" s="80">
        <f>K130 * L130</f>
        <v>650322.65904017852</v>
      </c>
      <c r="K131" s="79"/>
      <c r="L131" s="79"/>
      <c r="M131" s="85">
        <f>N130*O130</f>
        <v>0</v>
      </c>
      <c r="N131" s="79"/>
      <c r="O131" s="79"/>
      <c r="P131" s="86">
        <f ca="1">B128*Q130</f>
        <v>105026.875</v>
      </c>
      <c r="Q131" s="86"/>
      <c r="R131" s="15">
        <f>B128*0.5*R130</f>
        <v>0</v>
      </c>
      <c r="S131" s="90"/>
      <c r="T131" s="92"/>
      <c r="U131" s="10" t="s">
        <v>19</v>
      </c>
      <c r="V131" s="87">
        <f>D131+G131+J131+M131</f>
        <v>3700615.2845982146</v>
      </c>
      <c r="W131" s="88"/>
    </row>
    <row r="134" spans="1:25">
      <c r="A134" s="2" t="s">
        <v>96</v>
      </c>
      <c r="B134" s="3">
        <f>(A137+F136)/C137</f>
        <v>10319.991065944496</v>
      </c>
      <c r="C134" s="79" t="s">
        <v>3</v>
      </c>
      <c r="D134" s="79"/>
      <c r="E134" s="79"/>
      <c r="F134" s="79"/>
      <c r="G134" s="79" t="s">
        <v>14</v>
      </c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 t="s">
        <v>15</v>
      </c>
      <c r="S134" s="79"/>
      <c r="T134" s="79"/>
      <c r="U134" s="79" t="s">
        <v>18</v>
      </c>
      <c r="V134" s="79"/>
      <c r="W134" s="79"/>
    </row>
    <row r="135" spans="1:25">
      <c r="A135" s="8" t="s">
        <v>0</v>
      </c>
      <c r="B135" s="4" t="s">
        <v>105</v>
      </c>
      <c r="C135" s="79" t="s">
        <v>4</v>
      </c>
      <c r="D135" s="79"/>
      <c r="E135" s="10" t="s">
        <v>5</v>
      </c>
      <c r="F135" s="10" t="s">
        <v>6</v>
      </c>
      <c r="G135" s="79" t="s">
        <v>7</v>
      </c>
      <c r="H135" s="79"/>
      <c r="I135" s="79"/>
      <c r="J135" s="79" t="s">
        <v>8</v>
      </c>
      <c r="K135" s="79"/>
      <c r="L135" s="79"/>
      <c r="M135" s="79" t="s">
        <v>10</v>
      </c>
      <c r="N135" s="79"/>
      <c r="O135" s="79"/>
      <c r="P135" s="79" t="s">
        <v>11</v>
      </c>
      <c r="Q135" s="79"/>
      <c r="R135" s="10" t="s">
        <v>9</v>
      </c>
      <c r="S135" s="10" t="s">
        <v>12</v>
      </c>
      <c r="T135" s="10" t="s">
        <v>13</v>
      </c>
      <c r="U135" s="80">
        <f ca="1">ROUNDDOWN(SUM(D137, G137, J137, M137, P137, R137, S136, T136), -1)</f>
        <v>3416770</v>
      </c>
      <c r="V135" s="80"/>
      <c r="W135" s="80"/>
      <c r="Y135" s="63" t="s">
        <v>134</v>
      </c>
    </row>
    <row r="136" spans="1:25">
      <c r="A136" s="8" t="s">
        <v>1</v>
      </c>
      <c r="B136" s="17">
        <v>45720</v>
      </c>
      <c r="C136" s="10">
        <v>209</v>
      </c>
      <c r="D136" s="11">
        <v>10320</v>
      </c>
      <c r="E136" s="12">
        <v>0</v>
      </c>
      <c r="F136" s="12"/>
      <c r="G136" s="13">
        <v>7.5</v>
      </c>
      <c r="H136" s="13">
        <f>G136*365/84</f>
        <v>32.589285714285715</v>
      </c>
      <c r="I136" s="11">
        <f>B134 * 1.5</f>
        <v>15479.986598916745</v>
      </c>
      <c r="J136" s="58">
        <v>9.5</v>
      </c>
      <c r="K136" s="10">
        <f>J136*365/84</f>
        <v>41.279761904761905</v>
      </c>
      <c r="L136" s="11">
        <f>B134 * 1.5</f>
        <v>15479.986598916745</v>
      </c>
      <c r="M136" s="10"/>
      <c r="N136" s="10">
        <v>0</v>
      </c>
      <c r="O136" s="15">
        <f>B134*0.5</f>
        <v>5159.9955329722479</v>
      </c>
      <c r="P136" s="54">
        <f>B134*8</f>
        <v>82559.928527555967</v>
      </c>
      <c r="Q136" s="10">
        <f ca="1">IF(DATEDIF(B136, TODAY(), "m") &lt; 1, 0,
  IF(DATEDIF(B136, TODAY(), "y") &lt; 1, 8,
    MIN(25, 15 + INT((DATEDIF(B136, TODAY(), "y") - 1) / 2)) * 8 / 12
  )
)</f>
        <v>10</v>
      </c>
      <c r="R136" s="16"/>
      <c r="S136" s="81">
        <v>13200</v>
      </c>
      <c r="T136" s="83"/>
      <c r="U136" s="80"/>
      <c r="V136" s="80"/>
      <c r="W136" s="80"/>
    </row>
    <row r="137" spans="1:25">
      <c r="A137" s="18">
        <v>3300370</v>
      </c>
      <c r="B137" s="4" t="s">
        <v>17</v>
      </c>
      <c r="C137" s="10">
        <f>SUM(C136, H136*1.5, K136*1.5)</f>
        <v>319.80357142857144</v>
      </c>
      <c r="D137" s="80">
        <f>(D136 * 209)  + F136</f>
        <v>2156880</v>
      </c>
      <c r="E137" s="79"/>
      <c r="F137" s="79"/>
      <c r="G137" s="80">
        <f>H136 * I136</f>
        <v>504481.70612541179</v>
      </c>
      <c r="H137" s="79"/>
      <c r="I137" s="79"/>
      <c r="J137" s="80">
        <f>K136 * L136</f>
        <v>639010.16109218821</v>
      </c>
      <c r="K137" s="79"/>
      <c r="L137" s="79"/>
      <c r="M137" s="85">
        <f>N136*O136</f>
        <v>0</v>
      </c>
      <c r="N137" s="79"/>
      <c r="O137" s="79"/>
      <c r="P137" s="80">
        <f ca="1">B134*Q136</f>
        <v>103199.91065944495</v>
      </c>
      <c r="Q137" s="80"/>
      <c r="R137" s="15">
        <f>B134*0.5*R136</f>
        <v>0</v>
      </c>
      <c r="S137" s="82"/>
      <c r="T137" s="84"/>
      <c r="U137" s="10" t="s">
        <v>19</v>
      </c>
      <c r="V137" s="87">
        <f>D137+F136+G137+L137+M137</f>
        <v>2661361.7061254117</v>
      </c>
      <c r="W137" s="88"/>
    </row>
  </sheetData>
  <mergeCells count="419">
    <mergeCell ref="C1:F1"/>
    <mergeCell ref="G1:Q1"/>
    <mergeCell ref="R1:T1"/>
    <mergeCell ref="U1:W1"/>
    <mergeCell ref="X1:Y22"/>
    <mergeCell ref="C2:D2"/>
    <mergeCell ref="G2:I2"/>
    <mergeCell ref="J2:L2"/>
    <mergeCell ref="M2:O2"/>
    <mergeCell ref="P2:Q2"/>
    <mergeCell ref="U2:W3"/>
    <mergeCell ref="S3:S4"/>
    <mergeCell ref="T3:T4"/>
    <mergeCell ref="D4:F4"/>
    <mergeCell ref="G4:I4"/>
    <mergeCell ref="J4:L4"/>
    <mergeCell ref="M4:O4"/>
    <mergeCell ref="P4:Q4"/>
    <mergeCell ref="V4:W4"/>
    <mergeCell ref="A5:W6"/>
    <mergeCell ref="C7:F7"/>
    <mergeCell ref="G7:Q7"/>
    <mergeCell ref="R7:T7"/>
    <mergeCell ref="U7:W7"/>
    <mergeCell ref="C8:D8"/>
    <mergeCell ref="G8:I8"/>
    <mergeCell ref="J8:L8"/>
    <mergeCell ref="M8:O8"/>
    <mergeCell ref="P8:Q8"/>
    <mergeCell ref="U8:W9"/>
    <mergeCell ref="S9:S10"/>
    <mergeCell ref="T9:T10"/>
    <mergeCell ref="D10:F10"/>
    <mergeCell ref="G10:I10"/>
    <mergeCell ref="J10:L10"/>
    <mergeCell ref="M10:O10"/>
    <mergeCell ref="P10:Q10"/>
    <mergeCell ref="V10:W10"/>
    <mergeCell ref="A11:W12"/>
    <mergeCell ref="C13:F13"/>
    <mergeCell ref="G13:Q13"/>
    <mergeCell ref="R13:T13"/>
    <mergeCell ref="U13:W13"/>
    <mergeCell ref="C14:D14"/>
    <mergeCell ref="G14:I14"/>
    <mergeCell ref="J14:L14"/>
    <mergeCell ref="M14:O14"/>
    <mergeCell ref="P14:Q14"/>
    <mergeCell ref="U14:W15"/>
    <mergeCell ref="S15:S16"/>
    <mergeCell ref="T15:T16"/>
    <mergeCell ref="D16:F16"/>
    <mergeCell ref="G16:I16"/>
    <mergeCell ref="J16:L16"/>
    <mergeCell ref="M16:O16"/>
    <mergeCell ref="P16:Q16"/>
    <mergeCell ref="V16:W16"/>
    <mergeCell ref="A17:W18"/>
    <mergeCell ref="C19:F19"/>
    <mergeCell ref="G19:Q19"/>
    <mergeCell ref="R19:T19"/>
    <mergeCell ref="U19:W19"/>
    <mergeCell ref="C20:D20"/>
    <mergeCell ref="G20:I20"/>
    <mergeCell ref="J20:L20"/>
    <mergeCell ref="M20:O20"/>
    <mergeCell ref="P20:Q20"/>
    <mergeCell ref="U20:W21"/>
    <mergeCell ref="S21:S22"/>
    <mergeCell ref="T21:T22"/>
    <mergeCell ref="D22:F22"/>
    <mergeCell ref="G22:I22"/>
    <mergeCell ref="J22:L22"/>
    <mergeCell ref="M22:O22"/>
    <mergeCell ref="P22:Q22"/>
    <mergeCell ref="V22:W22"/>
    <mergeCell ref="C25:F25"/>
    <mergeCell ref="G25:Q25"/>
    <mergeCell ref="R25:T25"/>
    <mergeCell ref="U25:W25"/>
    <mergeCell ref="C26:D26"/>
    <mergeCell ref="G26:I26"/>
    <mergeCell ref="J26:L26"/>
    <mergeCell ref="M26:O26"/>
    <mergeCell ref="P26:Q26"/>
    <mergeCell ref="U26:W27"/>
    <mergeCell ref="V28:W28"/>
    <mergeCell ref="C31:F31"/>
    <mergeCell ref="G31:Q31"/>
    <mergeCell ref="R31:T31"/>
    <mergeCell ref="U31:W31"/>
    <mergeCell ref="C32:D32"/>
    <mergeCell ref="G32:I32"/>
    <mergeCell ref="J32:L32"/>
    <mergeCell ref="M32:O32"/>
    <mergeCell ref="P32:Q32"/>
    <mergeCell ref="S27:S28"/>
    <mergeCell ref="T27:T28"/>
    <mergeCell ref="D28:F28"/>
    <mergeCell ref="G28:I28"/>
    <mergeCell ref="J28:L28"/>
    <mergeCell ref="M28:O28"/>
    <mergeCell ref="P28:Q28"/>
    <mergeCell ref="U32:W33"/>
    <mergeCell ref="S33:S34"/>
    <mergeCell ref="T33:T34"/>
    <mergeCell ref="D34:F34"/>
    <mergeCell ref="G34:I34"/>
    <mergeCell ref="J34:L34"/>
    <mergeCell ref="M34:O34"/>
    <mergeCell ref="P34:Q34"/>
    <mergeCell ref="V34:W34"/>
    <mergeCell ref="C37:F37"/>
    <mergeCell ref="G37:Q37"/>
    <mergeCell ref="R37:T37"/>
    <mergeCell ref="U37:W37"/>
    <mergeCell ref="C38:D38"/>
    <mergeCell ref="G38:I38"/>
    <mergeCell ref="J38:L38"/>
    <mergeCell ref="M38:O38"/>
    <mergeCell ref="P38:Q38"/>
    <mergeCell ref="U38:W39"/>
    <mergeCell ref="V40:W40"/>
    <mergeCell ref="C43:F43"/>
    <mergeCell ref="G43:Q43"/>
    <mergeCell ref="R43:T43"/>
    <mergeCell ref="U43:W43"/>
    <mergeCell ref="C44:D44"/>
    <mergeCell ref="G44:I44"/>
    <mergeCell ref="J44:L44"/>
    <mergeCell ref="M44:O44"/>
    <mergeCell ref="P44:Q44"/>
    <mergeCell ref="S39:S40"/>
    <mergeCell ref="T39:T40"/>
    <mergeCell ref="D40:F40"/>
    <mergeCell ref="G40:I40"/>
    <mergeCell ref="J40:L40"/>
    <mergeCell ref="M40:O40"/>
    <mergeCell ref="P40:Q40"/>
    <mergeCell ref="U44:W45"/>
    <mergeCell ref="S45:S46"/>
    <mergeCell ref="T45:T46"/>
    <mergeCell ref="D46:F46"/>
    <mergeCell ref="G46:I46"/>
    <mergeCell ref="J46:L46"/>
    <mergeCell ref="M46:O46"/>
    <mergeCell ref="P46:Q46"/>
    <mergeCell ref="V46:W46"/>
    <mergeCell ref="C49:F49"/>
    <mergeCell ref="G49:Q49"/>
    <mergeCell ref="R49:T49"/>
    <mergeCell ref="U49:W49"/>
    <mergeCell ref="C50:D50"/>
    <mergeCell ref="G50:I50"/>
    <mergeCell ref="J50:L50"/>
    <mergeCell ref="M50:O50"/>
    <mergeCell ref="P50:Q50"/>
    <mergeCell ref="U50:W51"/>
    <mergeCell ref="V52:W52"/>
    <mergeCell ref="C55:F55"/>
    <mergeCell ref="G55:Q55"/>
    <mergeCell ref="R55:T55"/>
    <mergeCell ref="U55:W55"/>
    <mergeCell ref="C56:D56"/>
    <mergeCell ref="G56:I56"/>
    <mergeCell ref="J56:L56"/>
    <mergeCell ref="M56:O56"/>
    <mergeCell ref="P56:Q56"/>
    <mergeCell ref="S51:S52"/>
    <mergeCell ref="T51:T52"/>
    <mergeCell ref="D52:F52"/>
    <mergeCell ref="G52:I52"/>
    <mergeCell ref="J52:L52"/>
    <mergeCell ref="M52:O52"/>
    <mergeCell ref="P52:Q52"/>
    <mergeCell ref="U56:W57"/>
    <mergeCell ref="S57:S58"/>
    <mergeCell ref="T57:T58"/>
    <mergeCell ref="D58:F58"/>
    <mergeCell ref="G58:I58"/>
    <mergeCell ref="J58:L58"/>
    <mergeCell ref="M58:O58"/>
    <mergeCell ref="P58:Q58"/>
    <mergeCell ref="V58:W58"/>
    <mergeCell ref="C61:F61"/>
    <mergeCell ref="G61:Q61"/>
    <mergeCell ref="R61:T61"/>
    <mergeCell ref="U61:W61"/>
    <mergeCell ref="C62:D62"/>
    <mergeCell ref="G62:I62"/>
    <mergeCell ref="J62:L62"/>
    <mergeCell ref="M62:O62"/>
    <mergeCell ref="P62:Q62"/>
    <mergeCell ref="U62:W63"/>
    <mergeCell ref="V64:W64"/>
    <mergeCell ref="C67:F67"/>
    <mergeCell ref="G67:Q67"/>
    <mergeCell ref="R67:T67"/>
    <mergeCell ref="U67:W67"/>
    <mergeCell ref="C68:D68"/>
    <mergeCell ref="G68:I68"/>
    <mergeCell ref="J68:L68"/>
    <mergeCell ref="M68:O68"/>
    <mergeCell ref="P68:Q68"/>
    <mergeCell ref="S63:S64"/>
    <mergeCell ref="T63:T64"/>
    <mergeCell ref="D64:F64"/>
    <mergeCell ref="G64:I64"/>
    <mergeCell ref="J64:L64"/>
    <mergeCell ref="M64:O64"/>
    <mergeCell ref="P64:Q64"/>
    <mergeCell ref="U68:W69"/>
    <mergeCell ref="S69:S70"/>
    <mergeCell ref="T69:T70"/>
    <mergeCell ref="D70:F70"/>
    <mergeCell ref="G70:I70"/>
    <mergeCell ref="J70:L70"/>
    <mergeCell ref="M70:O70"/>
    <mergeCell ref="P70:Q70"/>
    <mergeCell ref="V70:W70"/>
    <mergeCell ref="C73:F73"/>
    <mergeCell ref="G73:Q73"/>
    <mergeCell ref="R73:T73"/>
    <mergeCell ref="U73:W73"/>
    <mergeCell ref="C74:D74"/>
    <mergeCell ref="G74:I74"/>
    <mergeCell ref="J74:L74"/>
    <mergeCell ref="M74:O74"/>
    <mergeCell ref="P74:Q74"/>
    <mergeCell ref="U74:W75"/>
    <mergeCell ref="V76:W76"/>
    <mergeCell ref="C80:F80"/>
    <mergeCell ref="G80:Q80"/>
    <mergeCell ref="R80:T80"/>
    <mergeCell ref="U80:W80"/>
    <mergeCell ref="C81:D81"/>
    <mergeCell ref="G81:I81"/>
    <mergeCell ref="J81:L81"/>
    <mergeCell ref="M81:O81"/>
    <mergeCell ref="P81:Q81"/>
    <mergeCell ref="S75:S76"/>
    <mergeCell ref="T75:T76"/>
    <mergeCell ref="D76:F76"/>
    <mergeCell ref="G76:I76"/>
    <mergeCell ref="J76:L76"/>
    <mergeCell ref="M76:O76"/>
    <mergeCell ref="P76:Q76"/>
    <mergeCell ref="U81:W82"/>
    <mergeCell ref="S82:S83"/>
    <mergeCell ref="T82:T83"/>
    <mergeCell ref="D83:F83"/>
    <mergeCell ref="G83:I83"/>
    <mergeCell ref="J83:L83"/>
    <mergeCell ref="M83:O83"/>
    <mergeCell ref="P83:Q83"/>
    <mergeCell ref="V83:W83"/>
    <mergeCell ref="C86:F86"/>
    <mergeCell ref="G86:Q86"/>
    <mergeCell ref="R86:T86"/>
    <mergeCell ref="U86:W86"/>
    <mergeCell ref="C87:D87"/>
    <mergeCell ref="G87:I87"/>
    <mergeCell ref="J87:L87"/>
    <mergeCell ref="M87:O87"/>
    <mergeCell ref="P87:Q87"/>
    <mergeCell ref="U87:W88"/>
    <mergeCell ref="V89:W89"/>
    <mergeCell ref="C92:F92"/>
    <mergeCell ref="G92:Q92"/>
    <mergeCell ref="R92:T92"/>
    <mergeCell ref="U92:W92"/>
    <mergeCell ref="C93:D93"/>
    <mergeCell ref="G93:I93"/>
    <mergeCell ref="J93:L93"/>
    <mergeCell ref="M93:O93"/>
    <mergeCell ref="P93:Q93"/>
    <mergeCell ref="S88:S89"/>
    <mergeCell ref="T88:T89"/>
    <mergeCell ref="D89:F89"/>
    <mergeCell ref="G89:I89"/>
    <mergeCell ref="J89:L89"/>
    <mergeCell ref="M89:O89"/>
    <mergeCell ref="P89:Q89"/>
    <mergeCell ref="U93:W94"/>
    <mergeCell ref="S94:S95"/>
    <mergeCell ref="T94:T95"/>
    <mergeCell ref="D95:F95"/>
    <mergeCell ref="G95:I95"/>
    <mergeCell ref="J95:L95"/>
    <mergeCell ref="M95:O95"/>
    <mergeCell ref="P95:Q95"/>
    <mergeCell ref="V95:W95"/>
    <mergeCell ref="V101:W101"/>
    <mergeCell ref="S100:S101"/>
    <mergeCell ref="T100:T101"/>
    <mergeCell ref="D101:F101"/>
    <mergeCell ref="G101:I101"/>
    <mergeCell ref="J101:L101"/>
    <mergeCell ref="M101:O101"/>
    <mergeCell ref="P101:Q101"/>
    <mergeCell ref="C98:F98"/>
    <mergeCell ref="G98:Q98"/>
    <mergeCell ref="R98:T98"/>
    <mergeCell ref="U98:W98"/>
    <mergeCell ref="C99:D99"/>
    <mergeCell ref="G99:I99"/>
    <mergeCell ref="J99:L99"/>
    <mergeCell ref="M99:O99"/>
    <mergeCell ref="P99:Q99"/>
    <mergeCell ref="U99:W100"/>
    <mergeCell ref="C104:F104"/>
    <mergeCell ref="G104:Q104"/>
    <mergeCell ref="R104:T104"/>
    <mergeCell ref="U104:W104"/>
    <mergeCell ref="C105:D105"/>
    <mergeCell ref="G105:I105"/>
    <mergeCell ref="J105:L105"/>
    <mergeCell ref="M105:O105"/>
    <mergeCell ref="P105:Q105"/>
    <mergeCell ref="U105:W106"/>
    <mergeCell ref="V107:W107"/>
    <mergeCell ref="C110:F110"/>
    <mergeCell ref="G110:Q110"/>
    <mergeCell ref="R110:T110"/>
    <mergeCell ref="U110:W110"/>
    <mergeCell ref="C111:D111"/>
    <mergeCell ref="G111:I111"/>
    <mergeCell ref="J111:L111"/>
    <mergeCell ref="M111:O111"/>
    <mergeCell ref="P111:Q111"/>
    <mergeCell ref="S106:S107"/>
    <mergeCell ref="T106:T107"/>
    <mergeCell ref="D107:F107"/>
    <mergeCell ref="G107:I107"/>
    <mergeCell ref="J107:L107"/>
    <mergeCell ref="M107:O107"/>
    <mergeCell ref="P107:Q107"/>
    <mergeCell ref="U111:W112"/>
    <mergeCell ref="S112:S113"/>
    <mergeCell ref="T112:T113"/>
    <mergeCell ref="D113:F113"/>
    <mergeCell ref="G113:I113"/>
    <mergeCell ref="J113:L113"/>
    <mergeCell ref="M113:O113"/>
    <mergeCell ref="P113:Q113"/>
    <mergeCell ref="V113:W113"/>
    <mergeCell ref="C116:F116"/>
    <mergeCell ref="G116:Q116"/>
    <mergeCell ref="R116:T116"/>
    <mergeCell ref="U116:W116"/>
    <mergeCell ref="C117:D117"/>
    <mergeCell ref="G117:I117"/>
    <mergeCell ref="J117:L117"/>
    <mergeCell ref="M117:O117"/>
    <mergeCell ref="P117:Q117"/>
    <mergeCell ref="U117:W118"/>
    <mergeCell ref="V119:W119"/>
    <mergeCell ref="C122:F122"/>
    <mergeCell ref="G122:Q122"/>
    <mergeCell ref="R122:T122"/>
    <mergeCell ref="U122:W122"/>
    <mergeCell ref="C123:D123"/>
    <mergeCell ref="G123:I123"/>
    <mergeCell ref="J123:L123"/>
    <mergeCell ref="M123:O123"/>
    <mergeCell ref="P123:Q123"/>
    <mergeCell ref="S118:S119"/>
    <mergeCell ref="T118:T119"/>
    <mergeCell ref="D119:F119"/>
    <mergeCell ref="G119:I119"/>
    <mergeCell ref="J119:L119"/>
    <mergeCell ref="M119:O119"/>
    <mergeCell ref="P119:Q119"/>
    <mergeCell ref="U123:W124"/>
    <mergeCell ref="S124:S125"/>
    <mergeCell ref="T124:T125"/>
    <mergeCell ref="D125:F125"/>
    <mergeCell ref="G125:I125"/>
    <mergeCell ref="J125:L125"/>
    <mergeCell ref="M125:O125"/>
    <mergeCell ref="P125:Q125"/>
    <mergeCell ref="V125:W125"/>
    <mergeCell ref="J131:L131"/>
    <mergeCell ref="M131:O131"/>
    <mergeCell ref="P131:Q131"/>
    <mergeCell ref="C128:F128"/>
    <mergeCell ref="G128:Q128"/>
    <mergeCell ref="R128:T128"/>
    <mergeCell ref="U128:W128"/>
    <mergeCell ref="C129:D129"/>
    <mergeCell ref="G129:I129"/>
    <mergeCell ref="J129:L129"/>
    <mergeCell ref="M129:O129"/>
    <mergeCell ref="P129:Q129"/>
    <mergeCell ref="U129:W130"/>
    <mergeCell ref="A90:AE91"/>
    <mergeCell ref="U135:W136"/>
    <mergeCell ref="S136:S137"/>
    <mergeCell ref="T136:T137"/>
    <mergeCell ref="D137:F137"/>
    <mergeCell ref="G137:I137"/>
    <mergeCell ref="J137:L137"/>
    <mergeCell ref="M137:O137"/>
    <mergeCell ref="P137:Q137"/>
    <mergeCell ref="V137:W137"/>
    <mergeCell ref="V131:W131"/>
    <mergeCell ref="C134:F134"/>
    <mergeCell ref="G134:Q134"/>
    <mergeCell ref="R134:T134"/>
    <mergeCell ref="U134:W134"/>
    <mergeCell ref="C135:D135"/>
    <mergeCell ref="G135:I135"/>
    <mergeCell ref="J135:L135"/>
    <mergeCell ref="M135:O135"/>
    <mergeCell ref="P135:Q135"/>
    <mergeCell ref="S130:S131"/>
    <mergeCell ref="T130:T131"/>
    <mergeCell ref="D131:F131"/>
    <mergeCell ref="G131:I131"/>
  </mergeCells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AC53"/>
  <sheetViews>
    <sheetView zoomScale="85" zoomScaleNormal="85" workbookViewId="0">
      <selection activeCell="P36" sqref="P36:Q36"/>
    </sheetView>
  </sheetViews>
  <sheetFormatPr defaultRowHeight="16.5"/>
  <cols>
    <col min="1" max="1" width="16.125" bestFit="1" customWidth="1"/>
    <col min="2" max="2" width="11.875" customWidth="1"/>
    <col min="3" max="3" width="5.625" customWidth="1"/>
    <col min="4" max="4" width="8.875" customWidth="1"/>
    <col min="5" max="5" width="10.125" customWidth="1"/>
    <col min="6" max="6" width="10.5" customWidth="1"/>
    <col min="7" max="7" width="4" style="1" customWidth="1"/>
    <col min="8" max="8" width="4.75" style="1" customWidth="1"/>
    <col min="9" max="9" width="9.375" bestFit="1" customWidth="1"/>
    <col min="10" max="10" width="3.75" style="6" customWidth="1"/>
    <col min="11" max="11" width="4.75" customWidth="1"/>
    <col min="12" max="12" width="9.375" bestFit="1" customWidth="1"/>
    <col min="13" max="14" width="4.625" customWidth="1"/>
    <col min="15" max="15" width="8.25" bestFit="1" customWidth="1"/>
    <col min="16" max="16" width="10.5" bestFit="1" customWidth="1"/>
    <col min="17" max="17" width="8.875" customWidth="1"/>
    <col min="18" max="18" width="12.75" customWidth="1"/>
    <col min="19" max="19" width="10.5" bestFit="1" customWidth="1"/>
    <col min="21" max="21" width="10.875" bestFit="1" customWidth="1"/>
  </cols>
  <sheetData>
    <row r="3" spans="1:25">
      <c r="A3" s="2" t="s">
        <v>88</v>
      </c>
      <c r="B3" s="3">
        <f>(A6+F5)/C6</f>
        <v>10320</v>
      </c>
      <c r="C3" s="79" t="s">
        <v>3</v>
      </c>
      <c r="D3" s="79"/>
      <c r="E3" s="79"/>
      <c r="F3" s="79"/>
      <c r="G3" s="79" t="s">
        <v>14</v>
      </c>
      <c r="H3" s="79"/>
      <c r="I3" s="79"/>
      <c r="J3" s="79"/>
      <c r="K3" s="79"/>
      <c r="L3" s="79"/>
      <c r="M3" s="79"/>
      <c r="N3" s="79"/>
      <c r="O3" s="79"/>
      <c r="P3" s="79"/>
      <c r="Q3" s="79"/>
      <c r="R3" s="79" t="s">
        <v>15</v>
      </c>
      <c r="S3" s="79"/>
      <c r="T3" s="79"/>
      <c r="U3" s="79" t="s">
        <v>18</v>
      </c>
      <c r="V3" s="79"/>
      <c r="W3" s="79"/>
    </row>
    <row r="4" spans="1:25">
      <c r="A4" s="56" t="s">
        <v>89</v>
      </c>
      <c r="B4" s="4" t="s">
        <v>2</v>
      </c>
      <c r="C4" s="79" t="s">
        <v>4</v>
      </c>
      <c r="D4" s="79"/>
      <c r="E4" s="10" t="s">
        <v>5</v>
      </c>
      <c r="F4" s="10" t="s">
        <v>6</v>
      </c>
      <c r="G4" s="79" t="s">
        <v>7</v>
      </c>
      <c r="H4" s="79"/>
      <c r="I4" s="79"/>
      <c r="J4" s="79" t="s">
        <v>8</v>
      </c>
      <c r="K4" s="79"/>
      <c r="L4" s="79"/>
      <c r="M4" s="79" t="s">
        <v>10</v>
      </c>
      <c r="N4" s="79"/>
      <c r="O4" s="79"/>
      <c r="P4" s="79" t="s">
        <v>11</v>
      </c>
      <c r="Q4" s="79"/>
      <c r="R4" s="10" t="s">
        <v>9</v>
      </c>
      <c r="S4" s="10" t="s">
        <v>12</v>
      </c>
      <c r="T4" s="10" t="s">
        <v>13</v>
      </c>
      <c r="U4" s="80">
        <f ca="1">ROUNDDOWN(SUM(D6,  G6, J6, M6, P6, R6, S5, T5), -1)</f>
        <v>3248400</v>
      </c>
      <c r="V4" s="80"/>
      <c r="W4" s="80"/>
      <c r="Y4" s="63" t="s">
        <v>118</v>
      </c>
    </row>
    <row r="5" spans="1:25">
      <c r="A5" s="56" t="s">
        <v>117</v>
      </c>
      <c r="B5" s="17">
        <v>46132</v>
      </c>
      <c r="C5" s="10">
        <v>209</v>
      </c>
      <c r="D5" s="11">
        <v>10320</v>
      </c>
      <c r="E5" s="12"/>
      <c r="F5" s="12"/>
      <c r="G5" s="70">
        <v>5</v>
      </c>
      <c r="H5" s="13">
        <f>G5*365/84</f>
        <v>21.726190476190474</v>
      </c>
      <c r="I5" s="11">
        <f>B3 * 1.5</f>
        <v>15480</v>
      </c>
      <c r="J5" s="69">
        <v>9</v>
      </c>
      <c r="K5" s="10">
        <f>J5*365/84</f>
        <v>39.107142857142854</v>
      </c>
      <c r="L5" s="11">
        <f>B3 * 1.5</f>
        <v>15480</v>
      </c>
      <c r="M5" s="10">
        <v>3</v>
      </c>
      <c r="N5" s="10">
        <f>M5*365/84</f>
        <v>13.035714285714286</v>
      </c>
      <c r="O5" s="15">
        <f>B3*0.5</f>
        <v>5160</v>
      </c>
      <c r="P5" s="54">
        <f>B3*8</f>
        <v>82560</v>
      </c>
      <c r="Q5" s="10">
        <f ca="1">IF(DATEDIF(B5, TODAY(), "m") &lt; 1, 0,
  IF(DATEDIF(B5, TODAY(), "y") &lt; 1, 8,
    MIN(25, 15 + INT((DATEDIF(B5, TODAY(), "y") - 1) / 2)) * 8 / 12
  )
)</f>
        <v>8</v>
      </c>
      <c r="R5" s="16"/>
      <c r="S5" s="81"/>
      <c r="T5" s="83"/>
      <c r="U5" s="80"/>
      <c r="V5" s="80"/>
      <c r="W5" s="80"/>
    </row>
    <row r="6" spans="1:25">
      <c r="A6" s="18">
        <v>3098580</v>
      </c>
      <c r="B6" s="4" t="s">
        <v>17</v>
      </c>
      <c r="C6" s="10">
        <f>SUM(C5, H5*1.5, K5*1.5)</f>
        <v>300.25</v>
      </c>
      <c r="D6" s="80">
        <f>(D5 * C5)  + F5</f>
        <v>2156880</v>
      </c>
      <c r="E6" s="79"/>
      <c r="F6" s="79"/>
      <c r="G6" s="80">
        <f>H5 * I5</f>
        <v>336321.42857142852</v>
      </c>
      <c r="H6" s="79"/>
      <c r="I6" s="79"/>
      <c r="J6" s="80">
        <f>K5 * L5</f>
        <v>605378.57142857136</v>
      </c>
      <c r="K6" s="79"/>
      <c r="L6" s="79"/>
      <c r="M6" s="85">
        <f>N5*O5</f>
        <v>67264.285714285725</v>
      </c>
      <c r="N6" s="79"/>
      <c r="O6" s="79"/>
      <c r="P6" s="80">
        <f ca="1">B3*Q5</f>
        <v>82560</v>
      </c>
      <c r="Q6" s="80"/>
      <c r="R6" s="15">
        <f>B3*0.5*R5</f>
        <v>0</v>
      </c>
      <c r="S6" s="82"/>
      <c r="T6" s="84"/>
      <c r="U6" s="10" t="s">
        <v>19</v>
      </c>
      <c r="V6" s="87">
        <f>D6+G6+L6+M6</f>
        <v>2560465.7142857146</v>
      </c>
      <c r="W6" s="88"/>
    </row>
    <row r="9" spans="1:25">
      <c r="A9" s="2" t="s">
        <v>88</v>
      </c>
      <c r="B9" s="3">
        <f>(A12+F11)/C12</f>
        <v>10320</v>
      </c>
      <c r="C9" s="79" t="s">
        <v>3</v>
      </c>
      <c r="D9" s="79"/>
      <c r="E9" s="79"/>
      <c r="F9" s="79"/>
      <c r="G9" s="79" t="s">
        <v>14</v>
      </c>
      <c r="H9" s="79"/>
      <c r="I9" s="79"/>
      <c r="J9" s="79"/>
      <c r="K9" s="79"/>
      <c r="L9" s="79"/>
      <c r="M9" s="79"/>
      <c r="N9" s="79"/>
      <c r="O9" s="79"/>
      <c r="P9" s="79"/>
      <c r="Q9" s="79"/>
      <c r="R9" s="79" t="s">
        <v>15</v>
      </c>
      <c r="S9" s="79"/>
      <c r="T9" s="79"/>
      <c r="U9" s="79" t="s">
        <v>18</v>
      </c>
      <c r="V9" s="79"/>
      <c r="W9" s="79"/>
    </row>
    <row r="10" spans="1:25">
      <c r="A10" s="55" t="s">
        <v>89</v>
      </c>
      <c r="B10" s="4" t="s">
        <v>2</v>
      </c>
      <c r="C10" s="79" t="s">
        <v>4</v>
      </c>
      <c r="D10" s="79"/>
      <c r="E10" s="10" t="s">
        <v>5</v>
      </c>
      <c r="F10" s="10" t="s">
        <v>6</v>
      </c>
      <c r="G10" s="79" t="s">
        <v>7</v>
      </c>
      <c r="H10" s="79"/>
      <c r="I10" s="79"/>
      <c r="J10" s="79" t="s">
        <v>8</v>
      </c>
      <c r="K10" s="79"/>
      <c r="L10" s="79"/>
      <c r="M10" s="79" t="s">
        <v>10</v>
      </c>
      <c r="N10" s="79"/>
      <c r="O10" s="79"/>
      <c r="P10" s="79" t="s">
        <v>11</v>
      </c>
      <c r="Q10" s="79"/>
      <c r="R10" s="10" t="s">
        <v>9</v>
      </c>
      <c r="S10" s="10" t="s">
        <v>12</v>
      </c>
      <c r="T10" s="10" t="s">
        <v>13</v>
      </c>
      <c r="U10" s="80">
        <f ca="1">ROUNDDOWN(SUM(D12, G12, J12, M12, P12, R12, S11, T11), -1)</f>
        <v>3181140</v>
      </c>
      <c r="V10" s="80"/>
      <c r="W10" s="80"/>
      <c r="X10" s="1"/>
      <c r="Y10" s="1"/>
    </row>
    <row r="11" spans="1:25">
      <c r="A11" s="56" t="s">
        <v>1</v>
      </c>
      <c r="B11" s="17">
        <v>46122</v>
      </c>
      <c r="C11" s="10">
        <v>209</v>
      </c>
      <c r="D11" s="11">
        <v>10320</v>
      </c>
      <c r="E11" s="12"/>
      <c r="F11" s="12"/>
      <c r="G11" s="13">
        <v>5</v>
      </c>
      <c r="H11" s="13">
        <f>G11*365/84</f>
        <v>21.726190476190474</v>
      </c>
      <c r="I11" s="11">
        <f>B9 * 1.5</f>
        <v>15480</v>
      </c>
      <c r="J11" s="14">
        <v>9</v>
      </c>
      <c r="K11" s="10">
        <f>J11*365/84</f>
        <v>39.107142857142854</v>
      </c>
      <c r="L11" s="11">
        <f>B9 * 1.5</f>
        <v>15480</v>
      </c>
      <c r="M11" s="10"/>
      <c r="N11" s="10">
        <f>M11*365/84</f>
        <v>0</v>
      </c>
      <c r="O11" s="15">
        <f>B9*0.5</f>
        <v>5160</v>
      </c>
      <c r="P11" s="54">
        <f>B9*8</f>
        <v>82560</v>
      </c>
      <c r="Q11" s="10">
        <f ca="1">IF(DATEDIF(B11, TODAY(), "m") &lt; 1, 0,
  IF(DATEDIF(B11, TODAY(), "y") &lt; 1, 8,
    MIN(25, 15 + INT((DATEDIF(B11, TODAY(), "y") - 1) / 2)) * 8 / 12
  )
)</f>
        <v>8</v>
      </c>
      <c r="R11" s="16"/>
      <c r="S11" s="81"/>
      <c r="T11" s="83"/>
      <c r="U11" s="80"/>
      <c r="V11" s="80"/>
      <c r="W11" s="80"/>
      <c r="X11" s="1"/>
      <c r="Y11" s="1"/>
    </row>
    <row r="12" spans="1:25">
      <c r="A12" s="18">
        <v>3098580</v>
      </c>
      <c r="B12" s="4" t="s">
        <v>17</v>
      </c>
      <c r="C12" s="10">
        <f>SUM(C11, H11*1.5, K11*1.5)</f>
        <v>300.25</v>
      </c>
      <c r="D12" s="80">
        <f>(D11 * 209)  + F11</f>
        <v>2156880</v>
      </c>
      <c r="E12" s="79"/>
      <c r="F12" s="79"/>
      <c r="G12" s="80">
        <f>H11 * I11</f>
        <v>336321.42857142852</v>
      </c>
      <c r="H12" s="79"/>
      <c r="I12" s="79"/>
      <c r="J12" s="80">
        <f>K11 * L11</f>
        <v>605378.57142857136</v>
      </c>
      <c r="K12" s="79"/>
      <c r="L12" s="79"/>
      <c r="M12" s="85">
        <f>N11*O11</f>
        <v>0</v>
      </c>
      <c r="N12" s="79"/>
      <c r="O12" s="79"/>
      <c r="P12" s="80">
        <f ca="1">B9*Q11</f>
        <v>82560</v>
      </c>
      <c r="Q12" s="80"/>
      <c r="R12" s="15">
        <f>B9*0.5*R11</f>
        <v>0</v>
      </c>
      <c r="S12" s="82"/>
      <c r="T12" s="84"/>
      <c r="U12" s="10" t="s">
        <v>19</v>
      </c>
      <c r="V12" s="87">
        <f>D12+G12+L12+M12</f>
        <v>2493201.4285714286</v>
      </c>
      <c r="W12" s="88"/>
      <c r="X12" s="1"/>
      <c r="Y12" s="1"/>
    </row>
    <row r="13" spans="1:25">
      <c r="A13" s="1"/>
      <c r="B13" s="1"/>
      <c r="C13" s="1"/>
      <c r="D13" s="1"/>
      <c r="E13" s="1"/>
      <c r="F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>
      <c r="A14" s="1"/>
      <c r="B14" s="1"/>
      <c r="C14" s="1"/>
      <c r="D14" s="1"/>
      <c r="E14" s="1"/>
      <c r="F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>
      <c r="A15" s="2" t="s">
        <v>88</v>
      </c>
      <c r="B15" s="3">
        <f>(A18+F17)/C18</f>
        <v>10320</v>
      </c>
      <c r="C15" s="79" t="s">
        <v>3</v>
      </c>
      <c r="D15" s="79"/>
      <c r="E15" s="79"/>
      <c r="F15" s="79"/>
      <c r="G15" s="79" t="s">
        <v>14</v>
      </c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 t="s">
        <v>15</v>
      </c>
      <c r="S15" s="79"/>
      <c r="T15" s="79"/>
      <c r="U15" s="79" t="s">
        <v>18</v>
      </c>
      <c r="V15" s="79"/>
      <c r="W15" s="79"/>
      <c r="X15" s="1"/>
      <c r="Y15" s="1"/>
    </row>
    <row r="16" spans="1:25">
      <c r="A16" s="56" t="s">
        <v>92</v>
      </c>
      <c r="B16" s="4" t="s">
        <v>2</v>
      </c>
      <c r="C16" s="79" t="s">
        <v>4</v>
      </c>
      <c r="D16" s="79"/>
      <c r="E16" s="10" t="s">
        <v>5</v>
      </c>
      <c r="F16" s="10" t="s">
        <v>6</v>
      </c>
      <c r="G16" s="79" t="s">
        <v>7</v>
      </c>
      <c r="H16" s="79"/>
      <c r="I16" s="79"/>
      <c r="J16" s="79" t="s">
        <v>8</v>
      </c>
      <c r="K16" s="79"/>
      <c r="L16" s="79"/>
      <c r="M16" s="79" t="s">
        <v>10</v>
      </c>
      <c r="N16" s="79"/>
      <c r="O16" s="79"/>
      <c r="P16" s="79" t="s">
        <v>11</v>
      </c>
      <c r="Q16" s="79"/>
      <c r="R16" s="10" t="s">
        <v>9</v>
      </c>
      <c r="S16" s="10" t="s">
        <v>12</v>
      </c>
      <c r="T16" s="10" t="s">
        <v>13</v>
      </c>
      <c r="U16" s="80">
        <f>ROUNDDOWN(SUM(D18, G18, J18, M18, P18, R18, S17, T17), -1)</f>
        <v>1636080</v>
      </c>
      <c r="V16" s="80"/>
      <c r="W16" s="80"/>
      <c r="X16" s="1"/>
      <c r="Y16" s="1" t="s">
        <v>139</v>
      </c>
    </row>
    <row r="17" spans="1:29">
      <c r="A17" s="56" t="s">
        <v>94</v>
      </c>
      <c r="B17" s="17">
        <v>45901</v>
      </c>
      <c r="C17" s="10">
        <v>141</v>
      </c>
      <c r="D17" s="11">
        <v>10320</v>
      </c>
      <c r="E17" s="12"/>
      <c r="F17" s="12"/>
      <c r="G17" s="13"/>
      <c r="H17" s="13">
        <f>G17*365/84</f>
        <v>0</v>
      </c>
      <c r="I17" s="11">
        <f>B15 * 1.5</f>
        <v>15480</v>
      </c>
      <c r="J17" s="14"/>
      <c r="K17" s="10">
        <f>J17*365/84</f>
        <v>0</v>
      </c>
      <c r="L17" s="11">
        <f>B15 * 1.5</f>
        <v>15480</v>
      </c>
      <c r="M17" s="10">
        <v>6</v>
      </c>
      <c r="N17" s="10">
        <f>M17*365/84</f>
        <v>26.071428571428573</v>
      </c>
      <c r="O17" s="15">
        <f>B15*0.5</f>
        <v>5160</v>
      </c>
      <c r="P17" s="54">
        <f>B15*5</f>
        <v>51600</v>
      </c>
      <c r="Q17" s="10">
        <v>4.5</v>
      </c>
      <c r="R17" s="16"/>
      <c r="S17" s="81"/>
      <c r="T17" s="83"/>
      <c r="U17" s="80"/>
      <c r="V17" s="80"/>
      <c r="W17" s="80"/>
      <c r="X17" s="1"/>
      <c r="Y17" s="1"/>
    </row>
    <row r="18" spans="1:29">
      <c r="A18" s="18">
        <v>1455120</v>
      </c>
      <c r="B18" s="4" t="s">
        <v>17</v>
      </c>
      <c r="C18" s="10">
        <f>SUM(C17, H17*1.5, K17*1.5)</f>
        <v>141</v>
      </c>
      <c r="D18" s="80">
        <f>(D17 * C17)  + F17</f>
        <v>1455120</v>
      </c>
      <c r="E18" s="79"/>
      <c r="F18" s="79"/>
      <c r="G18" s="80">
        <f>H17 * I17</f>
        <v>0</v>
      </c>
      <c r="H18" s="79"/>
      <c r="I18" s="79"/>
      <c r="J18" s="80">
        <f>K17 * L17</f>
        <v>0</v>
      </c>
      <c r="K18" s="79"/>
      <c r="L18" s="79"/>
      <c r="M18" s="85">
        <f>N17*O17</f>
        <v>134528.57142857145</v>
      </c>
      <c r="N18" s="79"/>
      <c r="O18" s="79"/>
      <c r="P18" s="80">
        <f>B15*Q17</f>
        <v>46440</v>
      </c>
      <c r="Q18" s="80"/>
      <c r="R18" s="15">
        <f>B15*0.5*R17</f>
        <v>0</v>
      </c>
      <c r="S18" s="82"/>
      <c r="T18" s="84"/>
      <c r="U18" s="10" t="s">
        <v>19</v>
      </c>
      <c r="V18" s="87">
        <f>D18+G18+J18+M18</f>
        <v>1589648.5714285714</v>
      </c>
      <c r="W18" s="88"/>
      <c r="X18" s="1"/>
      <c r="Y18" s="1"/>
    </row>
    <row r="19" spans="1:29">
      <c r="A19" s="1"/>
      <c r="B19" s="1"/>
      <c r="C19" s="1"/>
      <c r="D19" s="1"/>
      <c r="E19" s="1"/>
      <c r="F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9">
      <c r="A20" s="1"/>
      <c r="B20" s="1"/>
      <c r="C20" s="1"/>
      <c r="D20" s="1"/>
      <c r="E20" s="1"/>
      <c r="F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9">
      <c r="A21" s="2" t="s">
        <v>88</v>
      </c>
      <c r="B21" s="3">
        <f>(A24+F23)/C24</f>
        <v>10320</v>
      </c>
      <c r="C21" s="79" t="s">
        <v>3</v>
      </c>
      <c r="D21" s="79"/>
      <c r="E21" s="79"/>
      <c r="F21" s="79"/>
      <c r="G21" s="79" t="s">
        <v>14</v>
      </c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 t="s">
        <v>15</v>
      </c>
      <c r="S21" s="79"/>
      <c r="T21" s="79"/>
      <c r="U21" s="79" t="s">
        <v>18</v>
      </c>
      <c r="V21" s="79"/>
      <c r="W21" s="79"/>
      <c r="X21" s="1"/>
      <c r="Y21" s="1"/>
    </row>
    <row r="22" spans="1:29">
      <c r="A22" s="56" t="s">
        <v>92</v>
      </c>
      <c r="B22" s="4" t="s">
        <v>2</v>
      </c>
      <c r="C22" s="79" t="s">
        <v>4</v>
      </c>
      <c r="D22" s="79"/>
      <c r="E22" s="10" t="s">
        <v>5</v>
      </c>
      <c r="F22" s="10" t="s">
        <v>6</v>
      </c>
      <c r="G22" s="79" t="s">
        <v>7</v>
      </c>
      <c r="H22" s="79"/>
      <c r="I22" s="79"/>
      <c r="J22" s="79" t="s">
        <v>8</v>
      </c>
      <c r="K22" s="79"/>
      <c r="L22" s="79"/>
      <c r="M22" s="79" t="s">
        <v>10</v>
      </c>
      <c r="N22" s="79"/>
      <c r="O22" s="79"/>
      <c r="P22" s="79" t="s">
        <v>11</v>
      </c>
      <c r="Q22" s="79"/>
      <c r="R22" s="10" t="s">
        <v>9</v>
      </c>
      <c r="S22" s="10" t="s">
        <v>12</v>
      </c>
      <c r="T22" s="10" t="s">
        <v>13</v>
      </c>
      <c r="U22" s="80">
        <f ca="1">ROUNDDOWN(SUM(D24, G24, J24, M24, P24, R24, S23, T23), -1)</f>
        <v>1545260</v>
      </c>
      <c r="V22" s="80"/>
      <c r="W22" s="80"/>
      <c r="X22" s="1"/>
      <c r="Y22" s="1"/>
    </row>
    <row r="23" spans="1:29">
      <c r="A23" s="56" t="s">
        <v>93</v>
      </c>
      <c r="B23" s="17">
        <v>46134</v>
      </c>
      <c r="C23" s="10">
        <v>141</v>
      </c>
      <c r="D23" s="11">
        <v>10320</v>
      </c>
      <c r="E23" s="12"/>
      <c r="F23" s="12"/>
      <c r="G23" s="13"/>
      <c r="H23" s="13">
        <f>G23*365/84</f>
        <v>0</v>
      </c>
      <c r="I23" s="11">
        <f>B21 * 1.5</f>
        <v>15480</v>
      </c>
      <c r="J23" s="14"/>
      <c r="K23" s="10">
        <f>J23*365/84</f>
        <v>0</v>
      </c>
      <c r="L23" s="11">
        <f>B21 * 1.5</f>
        <v>15480</v>
      </c>
      <c r="M23" s="10"/>
      <c r="N23" s="10">
        <f>M23*365/84</f>
        <v>0</v>
      </c>
      <c r="O23" s="15">
        <f>B21*0.5</f>
        <v>5160</v>
      </c>
      <c r="P23" s="54">
        <f>B21*8</f>
        <v>82560</v>
      </c>
      <c r="Q23" s="10">
        <f ca="1">IF(DATEDIF(B23, TODAY(), "m") &lt; 1, 0,
  IF(DATEDIF(B23, TODAY(), "y") &lt; 1, 8,
    MIN(25, 15 + INT((DATEDIF(B23, TODAY(), "y") - 1) / 2)) * 8 / 12
  )
)</f>
        <v>8</v>
      </c>
      <c r="R23" s="16"/>
      <c r="S23" s="81">
        <v>7580</v>
      </c>
      <c r="T23" s="83"/>
      <c r="U23" s="80"/>
      <c r="V23" s="80"/>
      <c r="W23" s="80"/>
      <c r="X23" s="1"/>
      <c r="Y23" s="1"/>
    </row>
    <row r="24" spans="1:29">
      <c r="A24" s="18">
        <v>1455120</v>
      </c>
      <c r="B24" s="4" t="s">
        <v>17</v>
      </c>
      <c r="C24" s="10">
        <f>SUM(C23, H23*1.5, K23*1.5)</f>
        <v>141</v>
      </c>
      <c r="D24" s="80">
        <f>(D23 * C23)  + F23</f>
        <v>1455120</v>
      </c>
      <c r="E24" s="79"/>
      <c r="F24" s="79"/>
      <c r="G24" s="80">
        <f>H23 * I23</f>
        <v>0</v>
      </c>
      <c r="H24" s="79"/>
      <c r="I24" s="79"/>
      <c r="J24" s="80">
        <f>K23 * L23</f>
        <v>0</v>
      </c>
      <c r="K24" s="79"/>
      <c r="L24" s="79"/>
      <c r="M24" s="85">
        <f>N23*O23</f>
        <v>0</v>
      </c>
      <c r="N24" s="79"/>
      <c r="O24" s="79"/>
      <c r="P24" s="80">
        <f ca="1">B21*Q23</f>
        <v>82560</v>
      </c>
      <c r="Q24" s="80"/>
      <c r="R24" s="15">
        <f>B21*0.5*R23</f>
        <v>0</v>
      </c>
      <c r="S24" s="82"/>
      <c r="T24" s="84"/>
      <c r="U24" s="10" t="s">
        <v>19</v>
      </c>
      <c r="V24" s="87">
        <f>D24+G24+J24+M24</f>
        <v>1455120</v>
      </c>
      <c r="W24" s="88"/>
      <c r="X24" s="1"/>
      <c r="Y24" s="1"/>
    </row>
    <row r="25" spans="1:29">
      <c r="A25" s="1"/>
      <c r="B25" s="1"/>
      <c r="C25" s="1"/>
      <c r="D25" s="1"/>
      <c r="E25" s="1"/>
      <c r="F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9">
      <c r="A26" s="1"/>
      <c r="B26" s="1"/>
      <c r="C26" s="1"/>
      <c r="D26" s="1"/>
      <c r="E26" s="1"/>
      <c r="F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9" ht="16.5" customHeight="1">
      <c r="A27" s="2" t="s">
        <v>88</v>
      </c>
      <c r="B27" s="3">
        <f>(A30+F29)/C30</f>
        <v>10320</v>
      </c>
      <c r="C27" s="79" t="s">
        <v>3</v>
      </c>
      <c r="D27" s="79"/>
      <c r="E27" s="79"/>
      <c r="F27" s="79"/>
      <c r="G27" s="79" t="s">
        <v>14</v>
      </c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 t="s">
        <v>15</v>
      </c>
      <c r="S27" s="79"/>
      <c r="T27" s="79"/>
      <c r="U27" s="79" t="s">
        <v>18</v>
      </c>
      <c r="V27" s="79"/>
      <c r="W27" s="79"/>
      <c r="Y27" s="108" t="s">
        <v>120</v>
      </c>
      <c r="Z27" s="108"/>
      <c r="AA27" s="108"/>
      <c r="AB27" s="108"/>
      <c r="AC27" s="108"/>
    </row>
    <row r="28" spans="1:29">
      <c r="A28" s="56" t="s">
        <v>89</v>
      </c>
      <c r="B28" s="4" t="s">
        <v>2</v>
      </c>
      <c r="C28" s="79" t="s">
        <v>4</v>
      </c>
      <c r="D28" s="79"/>
      <c r="E28" s="10" t="s">
        <v>5</v>
      </c>
      <c r="F28" s="10" t="s">
        <v>6</v>
      </c>
      <c r="G28" s="79" t="s">
        <v>7</v>
      </c>
      <c r="H28" s="79"/>
      <c r="I28" s="79"/>
      <c r="J28" s="79" t="s">
        <v>8</v>
      </c>
      <c r="K28" s="79"/>
      <c r="L28" s="79"/>
      <c r="M28" s="79" t="s">
        <v>10</v>
      </c>
      <c r="N28" s="79"/>
      <c r="O28" s="79"/>
      <c r="P28" s="79" t="s">
        <v>11</v>
      </c>
      <c r="Q28" s="79"/>
      <c r="R28" s="10" t="s">
        <v>9</v>
      </c>
      <c r="S28" s="10" t="s">
        <v>12</v>
      </c>
      <c r="T28" s="10" t="s">
        <v>13</v>
      </c>
      <c r="U28" s="80">
        <f ca="1">ROUNDDOWN(SUM(D30,  G30, J30, M30, P30, R30, S29, T29), -1)</f>
        <v>3315660</v>
      </c>
      <c r="V28" s="80"/>
      <c r="W28" s="80"/>
      <c r="Y28" s="109" t="s">
        <v>119</v>
      </c>
      <c r="Z28" s="110"/>
      <c r="AA28" s="110"/>
      <c r="AB28" s="110"/>
      <c r="AC28" s="110"/>
    </row>
    <row r="29" spans="1:29">
      <c r="A29" s="56" t="s">
        <v>129</v>
      </c>
      <c r="B29" s="17">
        <v>46132</v>
      </c>
      <c r="C29" s="10">
        <v>209</v>
      </c>
      <c r="D29" s="11">
        <v>10320</v>
      </c>
      <c r="E29" s="12"/>
      <c r="F29" s="12"/>
      <c r="G29" s="13">
        <v>5</v>
      </c>
      <c r="H29" s="13">
        <f>G29*365/84</f>
        <v>21.726190476190474</v>
      </c>
      <c r="I29" s="11">
        <f>B27 * 1.5</f>
        <v>15480</v>
      </c>
      <c r="J29" s="14">
        <v>9</v>
      </c>
      <c r="K29" s="10">
        <f>J29*365/84</f>
        <v>39.107142857142854</v>
      </c>
      <c r="L29" s="11">
        <f>B27 * 1.5</f>
        <v>15480</v>
      </c>
      <c r="M29" s="10">
        <v>6</v>
      </c>
      <c r="N29" s="10">
        <f>M29*365/84</f>
        <v>26.071428571428573</v>
      </c>
      <c r="O29" s="15">
        <f>B27*0.5</f>
        <v>5160</v>
      </c>
      <c r="P29" s="54">
        <f>B27*8</f>
        <v>82560</v>
      </c>
      <c r="Q29" s="10">
        <f ca="1">IF(DATEDIF(B29, TODAY(), "m") &lt; 1, 0,
  IF(DATEDIF(B29, TODAY(), "y") &lt; 1, 8,
    MIN(25, 15 + INT((DATEDIF(B29, TODAY(), "y") - 1) / 2)) * 8 / 12
  )
)</f>
        <v>8</v>
      </c>
      <c r="R29" s="16"/>
      <c r="S29" s="81"/>
      <c r="T29" s="83"/>
      <c r="U29" s="80"/>
      <c r="V29" s="80"/>
      <c r="W29" s="80"/>
      <c r="Y29" s="68"/>
      <c r="Z29" s="68"/>
      <c r="AA29" s="68"/>
      <c r="AB29" s="68"/>
      <c r="AC29" s="68"/>
    </row>
    <row r="30" spans="1:29">
      <c r="A30" s="18">
        <v>3098580</v>
      </c>
      <c r="B30" s="4" t="s">
        <v>17</v>
      </c>
      <c r="C30" s="10">
        <f>SUM(C29, H29*1.5, K29*1.5)</f>
        <v>300.25</v>
      </c>
      <c r="D30" s="80">
        <f>(D29 * C29)  + F29</f>
        <v>2156880</v>
      </c>
      <c r="E30" s="79"/>
      <c r="F30" s="79"/>
      <c r="G30" s="80">
        <f>H29 * I29</f>
        <v>336321.42857142852</v>
      </c>
      <c r="H30" s="79"/>
      <c r="I30" s="79"/>
      <c r="J30" s="80">
        <f>K29 * L29</f>
        <v>605378.57142857136</v>
      </c>
      <c r="K30" s="79"/>
      <c r="L30" s="79"/>
      <c r="M30" s="85">
        <f>N29*O29</f>
        <v>134528.57142857145</v>
      </c>
      <c r="N30" s="79"/>
      <c r="O30" s="79"/>
      <c r="P30" s="80">
        <f ca="1">B27*Q29</f>
        <v>82560</v>
      </c>
      <c r="Q30" s="80"/>
      <c r="R30" s="15">
        <f>B27*0.5*R29</f>
        <v>0</v>
      </c>
      <c r="S30" s="82"/>
      <c r="T30" s="84"/>
      <c r="U30" s="10" t="s">
        <v>19</v>
      </c>
      <c r="V30" s="87">
        <f>D30+G30+L30+M30</f>
        <v>2627730</v>
      </c>
      <c r="W30" s="88"/>
      <c r="Y30" s="68"/>
      <c r="Z30" s="68"/>
      <c r="AA30" s="68"/>
      <c r="AB30" s="68"/>
      <c r="AC30" s="68"/>
    </row>
    <row r="33" spans="1:27">
      <c r="A33" s="2" t="s">
        <v>88</v>
      </c>
      <c r="B33" s="3">
        <f>(A36+F35)/C36</f>
        <v>10320</v>
      </c>
      <c r="C33" s="79" t="s">
        <v>3</v>
      </c>
      <c r="D33" s="79"/>
      <c r="E33" s="79"/>
      <c r="F33" s="79"/>
      <c r="G33" s="79" t="s">
        <v>14</v>
      </c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 t="s">
        <v>15</v>
      </c>
      <c r="S33" s="79"/>
      <c r="T33" s="79"/>
      <c r="U33" s="79" t="s">
        <v>18</v>
      </c>
      <c r="V33" s="79"/>
      <c r="W33" s="79"/>
    </row>
    <row r="34" spans="1:27">
      <c r="A34" s="56" t="s">
        <v>92</v>
      </c>
      <c r="B34" s="4" t="s">
        <v>2</v>
      </c>
      <c r="C34" s="79" t="s">
        <v>4</v>
      </c>
      <c r="D34" s="79"/>
      <c r="E34" s="10" t="s">
        <v>5</v>
      </c>
      <c r="F34" s="10" t="s">
        <v>6</v>
      </c>
      <c r="G34" s="79" t="s">
        <v>7</v>
      </c>
      <c r="H34" s="79"/>
      <c r="I34" s="79"/>
      <c r="J34" s="79" t="s">
        <v>8</v>
      </c>
      <c r="K34" s="79"/>
      <c r="L34" s="79"/>
      <c r="M34" s="79" t="s">
        <v>10</v>
      </c>
      <c r="N34" s="79"/>
      <c r="O34" s="79"/>
      <c r="P34" s="79" t="s">
        <v>11</v>
      </c>
      <c r="Q34" s="79"/>
      <c r="R34" s="10" t="s">
        <v>9</v>
      </c>
      <c r="S34" s="10" t="s">
        <v>12</v>
      </c>
      <c r="T34" s="10" t="s">
        <v>13</v>
      </c>
      <c r="U34" s="80">
        <f ca="1">ROUNDDOWN(SUM(D36, G36, J36, M36, P36, R36, S35, T35), -1)</f>
        <v>1636080</v>
      </c>
      <c r="V34" s="80"/>
      <c r="W34" s="80"/>
      <c r="Y34" s="63" t="s">
        <v>121</v>
      </c>
      <c r="AA34" t="s">
        <v>144</v>
      </c>
    </row>
    <row r="35" spans="1:27">
      <c r="A35" s="56" t="s">
        <v>117</v>
      </c>
      <c r="B35" s="17">
        <v>46122</v>
      </c>
      <c r="C35" s="10">
        <v>141</v>
      </c>
      <c r="D35" s="11">
        <v>10320</v>
      </c>
      <c r="E35" s="12"/>
      <c r="F35" s="12"/>
      <c r="G35" s="13"/>
      <c r="H35" s="13">
        <f>G35*365/84</f>
        <v>0</v>
      </c>
      <c r="I35" s="11">
        <f>B33 * 1.5</f>
        <v>15480</v>
      </c>
      <c r="J35" s="14"/>
      <c r="K35" s="10">
        <f>J35*365/84</f>
        <v>0</v>
      </c>
      <c r="L35" s="11">
        <f>B33 * 1.5</f>
        <v>15480</v>
      </c>
      <c r="M35" s="10">
        <v>6</v>
      </c>
      <c r="N35" s="10">
        <f>M35*365/84</f>
        <v>26.071428571428573</v>
      </c>
      <c r="O35" s="15">
        <f>B33*0.5</f>
        <v>5160</v>
      </c>
      <c r="P35" s="54">
        <f>B33*4.5</f>
        <v>46440</v>
      </c>
      <c r="Q35" s="76">
        <f ca="1">IF(DATEDIF(B35, TODAY(), "m") &lt; 1, 0,
  IF(DATEDIF(B35, TODAY(), "y") &lt; 1, 4.5,
    MIN(25, 15 + INT((DATEDIF(B35, TODAY(), "y") - 1) / 2)) * 4.5 / 12
  )
)</f>
        <v>4.5</v>
      </c>
      <c r="R35" s="16"/>
      <c r="S35" s="81"/>
      <c r="T35" s="83"/>
      <c r="U35" s="80"/>
      <c r="V35" s="80"/>
      <c r="W35" s="80"/>
      <c r="Y35" t="s">
        <v>122</v>
      </c>
    </row>
    <row r="36" spans="1:27">
      <c r="A36" s="18">
        <v>1455120</v>
      </c>
      <c r="B36" s="4" t="s">
        <v>17</v>
      </c>
      <c r="C36" s="10">
        <f>SUM(C35, H35*1.5, K35*1.5)</f>
        <v>141</v>
      </c>
      <c r="D36" s="80">
        <f>(D35 * C35)  + F35</f>
        <v>1455120</v>
      </c>
      <c r="E36" s="79"/>
      <c r="F36" s="79"/>
      <c r="G36" s="80">
        <f>H35 * I35</f>
        <v>0</v>
      </c>
      <c r="H36" s="79"/>
      <c r="I36" s="79"/>
      <c r="J36" s="80">
        <f>K35 * L35</f>
        <v>0</v>
      </c>
      <c r="K36" s="79"/>
      <c r="L36" s="79"/>
      <c r="M36" s="85">
        <f>N35*O35</f>
        <v>134528.57142857145</v>
      </c>
      <c r="N36" s="79"/>
      <c r="O36" s="79"/>
      <c r="P36" s="80">
        <f ca="1">B33*Q35</f>
        <v>46440</v>
      </c>
      <c r="Q36" s="80"/>
      <c r="R36" s="15">
        <f>B33*0.5*R35</f>
        <v>0</v>
      </c>
      <c r="S36" s="82"/>
      <c r="T36" s="84"/>
      <c r="U36" s="10" t="s">
        <v>19</v>
      </c>
      <c r="V36" s="87">
        <f>D36+G36+J36+M36</f>
        <v>1589648.5714285714</v>
      </c>
      <c r="W36" s="88"/>
    </row>
    <row r="39" spans="1:27">
      <c r="A39" s="2" t="s">
        <v>88</v>
      </c>
      <c r="B39" s="3">
        <f>(A42+F41)/C42</f>
        <v>10986.111573688593</v>
      </c>
      <c r="C39" s="79" t="s">
        <v>3</v>
      </c>
      <c r="D39" s="79"/>
      <c r="E39" s="79"/>
      <c r="F39" s="79"/>
      <c r="G39" s="79" t="s">
        <v>14</v>
      </c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 t="s">
        <v>15</v>
      </c>
      <c r="S39" s="79"/>
      <c r="T39" s="79"/>
      <c r="U39" s="79" t="s">
        <v>18</v>
      </c>
      <c r="V39" s="79"/>
      <c r="W39" s="79"/>
    </row>
    <row r="40" spans="1:27">
      <c r="A40" s="56" t="s">
        <v>89</v>
      </c>
      <c r="B40" s="4" t="s">
        <v>2</v>
      </c>
      <c r="C40" s="79" t="s">
        <v>4</v>
      </c>
      <c r="D40" s="79"/>
      <c r="E40" s="10" t="s">
        <v>5</v>
      </c>
      <c r="F40" s="10" t="s">
        <v>6</v>
      </c>
      <c r="G40" s="79" t="s">
        <v>7</v>
      </c>
      <c r="H40" s="79"/>
      <c r="I40" s="79"/>
      <c r="J40" s="79" t="s">
        <v>8</v>
      </c>
      <c r="K40" s="79"/>
      <c r="L40" s="79"/>
      <c r="M40" s="79" t="s">
        <v>10</v>
      </c>
      <c r="N40" s="79"/>
      <c r="O40" s="79"/>
      <c r="P40" s="79" t="s">
        <v>11</v>
      </c>
      <c r="Q40" s="79"/>
      <c r="R40" s="10" t="s">
        <v>9</v>
      </c>
      <c r="S40" s="10" t="s">
        <v>12</v>
      </c>
      <c r="T40" s="10" t="s">
        <v>13</v>
      </c>
      <c r="U40" s="80">
        <f ca="1">ROUNDDOWN(SUM(D42,  G42, J42, M42, P42, R42, S41, T41), -1)</f>
        <v>3800000</v>
      </c>
      <c r="V40" s="80"/>
      <c r="W40" s="80"/>
    </row>
    <row r="41" spans="1:27">
      <c r="A41" s="56" t="s">
        <v>117</v>
      </c>
      <c r="B41" s="17">
        <v>46083</v>
      </c>
      <c r="C41" s="10">
        <v>209</v>
      </c>
      <c r="D41" s="11">
        <v>10320</v>
      </c>
      <c r="E41" s="12">
        <v>200000</v>
      </c>
      <c r="F41" s="12">
        <v>200000</v>
      </c>
      <c r="G41" s="70">
        <v>5</v>
      </c>
      <c r="H41" s="13">
        <f>G41*365/84</f>
        <v>21.726190476190474</v>
      </c>
      <c r="I41" s="11">
        <f>B39 * 1.5</f>
        <v>16479.167360532891</v>
      </c>
      <c r="J41" s="69">
        <v>9</v>
      </c>
      <c r="K41" s="10">
        <f>J41*365/84</f>
        <v>39.107142857142854</v>
      </c>
      <c r="L41" s="11">
        <f>B39 * 1.5</f>
        <v>16479.167360532891</v>
      </c>
      <c r="M41" s="10">
        <v>9</v>
      </c>
      <c r="N41" s="10">
        <f>M41*365/84</f>
        <v>39.107142857142854</v>
      </c>
      <c r="O41" s="15">
        <f>B39*0.5</f>
        <v>5493.0557868442966</v>
      </c>
      <c r="P41" s="54">
        <f>B39*8</f>
        <v>87888.892589508745</v>
      </c>
      <c r="Q41" s="10">
        <f ca="1">IF(DATEDIF(B41, TODAY(), "m") &lt; 1, 0,
  IF(DATEDIF(B41, TODAY(), "y") &lt; 1, 8,
    MIN(25, 15 + INT((DATEDIF(B41, TODAY(), "y") - 1) / 2)) * 8 / 12
  )
)</f>
        <v>8</v>
      </c>
      <c r="R41" s="16"/>
      <c r="S41" s="81">
        <v>137940</v>
      </c>
      <c r="T41" s="83"/>
      <c r="U41" s="80"/>
      <c r="V41" s="80"/>
      <c r="W41" s="80"/>
    </row>
    <row r="42" spans="1:27">
      <c r="A42" s="18">
        <v>3098580</v>
      </c>
      <c r="B42" s="4" t="s">
        <v>17</v>
      </c>
      <c r="C42" s="10">
        <f>SUM(C41, H41*1.5, K41*1.5)</f>
        <v>300.25</v>
      </c>
      <c r="D42" s="80">
        <f>(D41 * C41)  + F41</f>
        <v>2356880</v>
      </c>
      <c r="E42" s="79"/>
      <c r="F42" s="79"/>
      <c r="G42" s="80">
        <f>H41 * I41</f>
        <v>358029.52896395861</v>
      </c>
      <c r="H42" s="79"/>
      <c r="I42" s="79"/>
      <c r="J42" s="80">
        <f>K41 * L41</f>
        <v>644453.15213512548</v>
      </c>
      <c r="K42" s="79"/>
      <c r="L42" s="79"/>
      <c r="M42" s="85">
        <f>N41*O41</f>
        <v>214817.71737837515</v>
      </c>
      <c r="N42" s="79"/>
      <c r="O42" s="79"/>
      <c r="P42" s="80">
        <f ca="1">B39*Q41</f>
        <v>87888.892589508745</v>
      </c>
      <c r="Q42" s="80"/>
      <c r="R42" s="15">
        <f>B39*0.5*R41</f>
        <v>0</v>
      </c>
      <c r="S42" s="82"/>
      <c r="T42" s="84"/>
      <c r="U42" s="10" t="s">
        <v>19</v>
      </c>
      <c r="V42" s="87">
        <f>D42+G42+L42+M42</f>
        <v>2929727.246342334</v>
      </c>
      <c r="W42" s="88"/>
    </row>
    <row r="45" spans="1:27">
      <c r="A45" s="2" t="s">
        <v>88</v>
      </c>
      <c r="B45" s="3">
        <f>(A48+F47)/C48</f>
        <v>10320</v>
      </c>
      <c r="C45" s="79" t="s">
        <v>3</v>
      </c>
      <c r="D45" s="79"/>
      <c r="E45" s="79"/>
      <c r="F45" s="79"/>
      <c r="G45" s="79" t="s">
        <v>14</v>
      </c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 t="s">
        <v>15</v>
      </c>
      <c r="S45" s="79"/>
      <c r="T45" s="79"/>
      <c r="U45" s="79" t="s">
        <v>18</v>
      </c>
      <c r="V45" s="79"/>
      <c r="W45" s="79"/>
    </row>
    <row r="46" spans="1:27">
      <c r="A46" s="56" t="s">
        <v>92</v>
      </c>
      <c r="B46" s="4" t="s">
        <v>2</v>
      </c>
      <c r="C46" s="79" t="s">
        <v>4</v>
      </c>
      <c r="D46" s="79"/>
      <c r="E46" s="10" t="s">
        <v>5</v>
      </c>
      <c r="F46" s="10" t="s">
        <v>6</v>
      </c>
      <c r="G46" s="79" t="s">
        <v>7</v>
      </c>
      <c r="H46" s="79"/>
      <c r="I46" s="79"/>
      <c r="J46" s="79" t="s">
        <v>8</v>
      </c>
      <c r="K46" s="79"/>
      <c r="L46" s="79"/>
      <c r="M46" s="79" t="s">
        <v>10</v>
      </c>
      <c r="N46" s="79"/>
      <c r="O46" s="79"/>
      <c r="P46" s="79" t="s">
        <v>11</v>
      </c>
      <c r="Q46" s="79"/>
      <c r="R46" s="10" t="s">
        <v>9</v>
      </c>
      <c r="S46" s="10" t="s">
        <v>12</v>
      </c>
      <c r="T46" s="10" t="s">
        <v>13</v>
      </c>
      <c r="U46" s="80">
        <f>ROUNDDOWN(SUM(D48, G48, J48, M48, P48, R48, S47, T47), -1)</f>
        <v>1636080</v>
      </c>
      <c r="V46" s="80"/>
      <c r="W46" s="80"/>
    </row>
    <row r="47" spans="1:27">
      <c r="A47" s="56" t="s">
        <v>142</v>
      </c>
      <c r="B47" s="17">
        <v>46122</v>
      </c>
      <c r="C47" s="10">
        <v>141</v>
      </c>
      <c r="D47" s="11">
        <v>10320</v>
      </c>
      <c r="E47" s="12"/>
      <c r="F47" s="12"/>
      <c r="G47" s="13"/>
      <c r="H47" s="13">
        <f>G47*365/84</f>
        <v>0</v>
      </c>
      <c r="I47" s="11">
        <f>B45 * 1.5</f>
        <v>15480</v>
      </c>
      <c r="J47" s="14"/>
      <c r="K47" s="10">
        <f>J47*365/84</f>
        <v>0</v>
      </c>
      <c r="L47" s="11">
        <f>B45 * 1.5</f>
        <v>15480</v>
      </c>
      <c r="M47" s="10">
        <v>6</v>
      </c>
      <c r="N47" s="10">
        <f>M47*365/84</f>
        <v>26.071428571428573</v>
      </c>
      <c r="O47" s="15">
        <f>B45*0.5</f>
        <v>5160</v>
      </c>
      <c r="P47" s="54">
        <f>B45*4.5</f>
        <v>46440</v>
      </c>
      <c r="Q47" s="10">
        <v>4.5</v>
      </c>
      <c r="R47" s="16"/>
      <c r="S47" s="81"/>
      <c r="T47" s="83"/>
      <c r="U47" s="80"/>
      <c r="V47" s="80"/>
      <c r="W47" s="80"/>
    </row>
    <row r="48" spans="1:27">
      <c r="A48" s="18">
        <v>1455120</v>
      </c>
      <c r="B48" s="4" t="s">
        <v>17</v>
      </c>
      <c r="C48" s="10">
        <f>SUM(C47, H47*1.5, K47*1.5)</f>
        <v>141</v>
      </c>
      <c r="D48" s="80">
        <f>(D47 * C47)  + F47</f>
        <v>1455120</v>
      </c>
      <c r="E48" s="79"/>
      <c r="F48" s="79"/>
      <c r="G48" s="80">
        <f>H47 * I47</f>
        <v>0</v>
      </c>
      <c r="H48" s="79"/>
      <c r="I48" s="79"/>
      <c r="J48" s="80">
        <f>K47 * L47</f>
        <v>0</v>
      </c>
      <c r="K48" s="79"/>
      <c r="L48" s="79"/>
      <c r="M48" s="85">
        <f>N47*O47</f>
        <v>134528.57142857145</v>
      </c>
      <c r="N48" s="79"/>
      <c r="O48" s="79"/>
      <c r="P48" s="80">
        <f>B45*Q47</f>
        <v>46440</v>
      </c>
      <c r="Q48" s="80"/>
      <c r="R48" s="15">
        <f>B45*0.5*R47</f>
        <v>0</v>
      </c>
      <c r="S48" s="82"/>
      <c r="T48" s="84"/>
      <c r="U48" s="10" t="s">
        <v>19</v>
      </c>
      <c r="V48" s="87">
        <f>D48+G48+J48+M48</f>
        <v>1589648.5714285714</v>
      </c>
      <c r="W48" s="88"/>
    </row>
    <row r="50" spans="1:23">
      <c r="A50" s="2" t="s">
        <v>88</v>
      </c>
      <c r="B50" s="3">
        <f>(A53+F52)/C53</f>
        <v>10320</v>
      </c>
      <c r="C50" s="79" t="s">
        <v>3</v>
      </c>
      <c r="D50" s="79"/>
      <c r="E50" s="79"/>
      <c r="F50" s="79"/>
      <c r="G50" s="79" t="s">
        <v>14</v>
      </c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 t="s">
        <v>15</v>
      </c>
      <c r="S50" s="79"/>
      <c r="T50" s="79"/>
      <c r="U50" s="79" t="s">
        <v>18</v>
      </c>
      <c r="V50" s="79"/>
      <c r="W50" s="79"/>
    </row>
    <row r="51" spans="1:23">
      <c r="A51" s="56" t="s">
        <v>89</v>
      </c>
      <c r="B51" s="4" t="s">
        <v>143</v>
      </c>
      <c r="C51" s="79" t="s">
        <v>4</v>
      </c>
      <c r="D51" s="79"/>
      <c r="E51" s="10" t="s">
        <v>5</v>
      </c>
      <c r="F51" s="10" t="s">
        <v>6</v>
      </c>
      <c r="G51" s="79" t="s">
        <v>7</v>
      </c>
      <c r="H51" s="79"/>
      <c r="I51" s="79"/>
      <c r="J51" s="79" t="s">
        <v>8</v>
      </c>
      <c r="K51" s="79"/>
      <c r="L51" s="79"/>
      <c r="M51" s="79" t="s">
        <v>10</v>
      </c>
      <c r="N51" s="79"/>
      <c r="O51" s="79"/>
      <c r="P51" s="79" t="s">
        <v>11</v>
      </c>
      <c r="Q51" s="79"/>
      <c r="R51" s="10" t="s">
        <v>9</v>
      </c>
      <c r="S51" s="10" t="s">
        <v>12</v>
      </c>
      <c r="T51" s="10" t="s">
        <v>13</v>
      </c>
      <c r="U51" s="80">
        <f ca="1">ROUNDDOWN(SUM(D53,  G53, J53, M53, P53, R53, S52, T52), -1)</f>
        <v>3320000</v>
      </c>
      <c r="V51" s="80"/>
      <c r="W51" s="80"/>
    </row>
    <row r="52" spans="1:23">
      <c r="A52" s="56" t="s">
        <v>117</v>
      </c>
      <c r="B52" s="17">
        <v>46083</v>
      </c>
      <c r="C52" s="10">
        <v>209</v>
      </c>
      <c r="D52" s="11">
        <v>10320</v>
      </c>
      <c r="E52" s="12"/>
      <c r="F52" s="12"/>
      <c r="G52" s="70">
        <v>5</v>
      </c>
      <c r="H52" s="13">
        <f>G52*365/84</f>
        <v>21.726190476190474</v>
      </c>
      <c r="I52" s="11">
        <f>B50 * 1.5</f>
        <v>15480</v>
      </c>
      <c r="J52" s="69">
        <v>9</v>
      </c>
      <c r="K52" s="10">
        <f>J52*365/84</f>
        <v>39.107142857142854</v>
      </c>
      <c r="L52" s="11">
        <f>B50 * 1.5</f>
        <v>15480</v>
      </c>
      <c r="M52" s="10">
        <v>3</v>
      </c>
      <c r="N52" s="10">
        <f>M52*365/84</f>
        <v>13.035714285714286</v>
      </c>
      <c r="O52" s="15">
        <f>B50*0.5</f>
        <v>5160</v>
      </c>
      <c r="P52" s="54">
        <f>B50*8</f>
        <v>82560</v>
      </c>
      <c r="Q52" s="10">
        <f ca="1">IF(DATEDIF(B52, TODAY(), "m") &lt; 1, 0,
  IF(DATEDIF(B52, TODAY(), "y") &lt; 1, 8,
    MIN(25, 15 + INT((DATEDIF(B52, TODAY(), "y") - 1) / 2)) * 8 / 12
  )
)</f>
        <v>8</v>
      </c>
      <c r="R52" s="16"/>
      <c r="S52" s="81">
        <v>71600</v>
      </c>
      <c r="T52" s="83"/>
      <c r="U52" s="80"/>
      <c r="V52" s="80"/>
      <c r="W52" s="80"/>
    </row>
    <row r="53" spans="1:23">
      <c r="A53" s="18">
        <v>3098580</v>
      </c>
      <c r="B53" s="4" t="s">
        <v>17</v>
      </c>
      <c r="C53" s="10">
        <f>SUM(C52, H52*1.5, K52*1.5)</f>
        <v>300.25</v>
      </c>
      <c r="D53" s="80">
        <f>(D52 * C52)  + F52</f>
        <v>2156880</v>
      </c>
      <c r="E53" s="79"/>
      <c r="F53" s="79"/>
      <c r="G53" s="80">
        <f>H52 * I52</f>
        <v>336321.42857142852</v>
      </c>
      <c r="H53" s="79"/>
      <c r="I53" s="79"/>
      <c r="J53" s="80">
        <f>K52 * L52</f>
        <v>605378.57142857136</v>
      </c>
      <c r="K53" s="79"/>
      <c r="L53" s="79"/>
      <c r="M53" s="85">
        <f>N52*O52</f>
        <v>67264.285714285725</v>
      </c>
      <c r="N53" s="79"/>
      <c r="O53" s="79"/>
      <c r="P53" s="80">
        <f ca="1">B50*Q52</f>
        <v>82560</v>
      </c>
      <c r="Q53" s="80"/>
      <c r="R53" s="15">
        <f>B50*0.5*R52</f>
        <v>0</v>
      </c>
      <c r="S53" s="82"/>
      <c r="T53" s="84"/>
      <c r="U53" s="10" t="s">
        <v>19</v>
      </c>
      <c r="V53" s="87">
        <f>D53+G53+L53+M53</f>
        <v>2560465.7142857146</v>
      </c>
      <c r="W53" s="88"/>
    </row>
  </sheetData>
  <mergeCells count="164">
    <mergeCell ref="C50:F50"/>
    <mergeCell ref="G50:Q50"/>
    <mergeCell ref="R50:T50"/>
    <mergeCell ref="U50:W50"/>
    <mergeCell ref="C51:D51"/>
    <mergeCell ref="G51:I51"/>
    <mergeCell ref="J51:L51"/>
    <mergeCell ref="M51:O51"/>
    <mergeCell ref="P51:Q51"/>
    <mergeCell ref="U51:W52"/>
    <mergeCell ref="S52:S53"/>
    <mergeCell ref="T52:T53"/>
    <mergeCell ref="D53:F53"/>
    <mergeCell ref="G53:I53"/>
    <mergeCell ref="J53:L53"/>
    <mergeCell ref="M53:O53"/>
    <mergeCell ref="P53:Q53"/>
    <mergeCell ref="V53:W53"/>
    <mergeCell ref="C45:F45"/>
    <mergeCell ref="G45:Q45"/>
    <mergeCell ref="R45:T45"/>
    <mergeCell ref="U45:W45"/>
    <mergeCell ref="C46:D46"/>
    <mergeCell ref="G46:I46"/>
    <mergeCell ref="J46:L46"/>
    <mergeCell ref="M46:O46"/>
    <mergeCell ref="P46:Q46"/>
    <mergeCell ref="U46:W47"/>
    <mergeCell ref="S47:S48"/>
    <mergeCell ref="T47:T48"/>
    <mergeCell ref="D48:F48"/>
    <mergeCell ref="G48:I48"/>
    <mergeCell ref="J48:L48"/>
    <mergeCell ref="M48:O48"/>
    <mergeCell ref="P48:Q48"/>
    <mergeCell ref="V48:W48"/>
    <mergeCell ref="C39:F39"/>
    <mergeCell ref="G39:Q39"/>
    <mergeCell ref="R39:T39"/>
    <mergeCell ref="U39:W39"/>
    <mergeCell ref="C40:D40"/>
    <mergeCell ref="G40:I40"/>
    <mergeCell ref="J40:L40"/>
    <mergeCell ref="M40:O40"/>
    <mergeCell ref="P40:Q40"/>
    <mergeCell ref="U40:W41"/>
    <mergeCell ref="S41:S42"/>
    <mergeCell ref="T41:T42"/>
    <mergeCell ref="D42:F42"/>
    <mergeCell ref="G42:I42"/>
    <mergeCell ref="J42:L42"/>
    <mergeCell ref="M42:O42"/>
    <mergeCell ref="P42:Q42"/>
    <mergeCell ref="V42:W42"/>
    <mergeCell ref="G34:I34"/>
    <mergeCell ref="J34:L34"/>
    <mergeCell ref="M34:O34"/>
    <mergeCell ref="P34:Q34"/>
    <mergeCell ref="V6:W6"/>
    <mergeCell ref="S5:S6"/>
    <mergeCell ref="T5:T6"/>
    <mergeCell ref="D6:F6"/>
    <mergeCell ref="G6:I6"/>
    <mergeCell ref="J6:L6"/>
    <mergeCell ref="M6:O6"/>
    <mergeCell ref="P6:Q6"/>
    <mergeCell ref="C9:F9"/>
    <mergeCell ref="G9:Q9"/>
    <mergeCell ref="R9:T9"/>
    <mergeCell ref="U9:W9"/>
    <mergeCell ref="C10:D10"/>
    <mergeCell ref="G10:I10"/>
    <mergeCell ref="J10:L10"/>
    <mergeCell ref="M10:O10"/>
    <mergeCell ref="P10:Q10"/>
    <mergeCell ref="U10:W11"/>
    <mergeCell ref="S11:S12"/>
    <mergeCell ref="V12:W12"/>
    <mergeCell ref="C3:F3"/>
    <mergeCell ref="G3:Q3"/>
    <mergeCell ref="R3:T3"/>
    <mergeCell ref="U3:W3"/>
    <mergeCell ref="C4:D4"/>
    <mergeCell ref="G4:I4"/>
    <mergeCell ref="J4:L4"/>
    <mergeCell ref="M4:O4"/>
    <mergeCell ref="P4:Q4"/>
    <mergeCell ref="U4:W5"/>
    <mergeCell ref="T11:T12"/>
    <mergeCell ref="D12:F12"/>
    <mergeCell ref="G12:I12"/>
    <mergeCell ref="J12:L12"/>
    <mergeCell ref="M12:O12"/>
    <mergeCell ref="P12:Q12"/>
    <mergeCell ref="U16:W17"/>
    <mergeCell ref="S17:S18"/>
    <mergeCell ref="T17:T18"/>
    <mergeCell ref="D18:F18"/>
    <mergeCell ref="G18:I18"/>
    <mergeCell ref="J18:L18"/>
    <mergeCell ref="M18:O18"/>
    <mergeCell ref="P18:Q18"/>
    <mergeCell ref="V18:W18"/>
    <mergeCell ref="C15:F15"/>
    <mergeCell ref="G15:Q15"/>
    <mergeCell ref="R15:T15"/>
    <mergeCell ref="U15:W15"/>
    <mergeCell ref="C16:D16"/>
    <mergeCell ref="G16:I16"/>
    <mergeCell ref="J16:L16"/>
    <mergeCell ref="M16:O16"/>
    <mergeCell ref="P16:Q16"/>
    <mergeCell ref="C21:F21"/>
    <mergeCell ref="G21:Q21"/>
    <mergeCell ref="R21:T21"/>
    <mergeCell ref="U21:W21"/>
    <mergeCell ref="C22:D22"/>
    <mergeCell ref="G22:I22"/>
    <mergeCell ref="J22:L22"/>
    <mergeCell ref="M22:O22"/>
    <mergeCell ref="P22:Q22"/>
    <mergeCell ref="U22:W23"/>
    <mergeCell ref="V30:W30"/>
    <mergeCell ref="V24:W24"/>
    <mergeCell ref="C27:F27"/>
    <mergeCell ref="G27:Q27"/>
    <mergeCell ref="R27:T27"/>
    <mergeCell ref="U27:W27"/>
    <mergeCell ref="C28:D28"/>
    <mergeCell ref="G28:I28"/>
    <mergeCell ref="J28:L28"/>
    <mergeCell ref="M28:O28"/>
    <mergeCell ref="P28:Q28"/>
    <mergeCell ref="S23:S24"/>
    <mergeCell ref="T23:T24"/>
    <mergeCell ref="D24:F24"/>
    <mergeCell ref="G24:I24"/>
    <mergeCell ref="J24:L24"/>
    <mergeCell ref="M24:O24"/>
    <mergeCell ref="P24:Q24"/>
    <mergeCell ref="V36:W36"/>
    <mergeCell ref="T35:T36"/>
    <mergeCell ref="D36:F36"/>
    <mergeCell ref="G36:I36"/>
    <mergeCell ref="J36:L36"/>
    <mergeCell ref="M36:O36"/>
    <mergeCell ref="P36:Q36"/>
    <mergeCell ref="Y27:AC27"/>
    <mergeCell ref="Y28:AC28"/>
    <mergeCell ref="C33:F33"/>
    <mergeCell ref="G33:Q33"/>
    <mergeCell ref="R33:T33"/>
    <mergeCell ref="U33:W33"/>
    <mergeCell ref="C34:D34"/>
    <mergeCell ref="U34:W35"/>
    <mergeCell ref="S35:S36"/>
    <mergeCell ref="U28:W29"/>
    <mergeCell ref="S29:S30"/>
    <mergeCell ref="T29:T30"/>
    <mergeCell ref="D30:F30"/>
    <mergeCell ref="G30:I30"/>
    <mergeCell ref="J30:L30"/>
    <mergeCell ref="M30:O30"/>
    <mergeCell ref="P30:Q30"/>
  </mergeCells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pageSetUpPr autoPageBreaks="0" fitToPage="1"/>
  </sheetPr>
  <dimension ref="A1:AE95"/>
  <sheetViews>
    <sheetView showGridLines="0" showRowColHeaders="0" zoomScale="85" zoomScaleNormal="85" workbookViewId="0">
      <selection activeCell="AF24" sqref="AF24"/>
    </sheetView>
  </sheetViews>
  <sheetFormatPr defaultColWidth="9" defaultRowHeight="16.5"/>
  <cols>
    <col min="1" max="1" width="4.625" style="53" customWidth="1"/>
    <col min="2" max="26" width="3.625" style="53" customWidth="1"/>
    <col min="27" max="27" width="4.625" style="53" customWidth="1"/>
    <col min="28" max="16384" width="9" style="53"/>
  </cols>
  <sheetData>
    <row r="1" spans="1:31" s="49" customFormat="1" ht="15" customHeight="1">
      <c r="A1" s="23"/>
      <c r="B1" s="48"/>
      <c r="C1"/>
      <c r="D1"/>
      <c r="E1"/>
      <c r="F1"/>
      <c r="G1"/>
      <c r="H1"/>
      <c r="I1"/>
      <c r="J1"/>
      <c r="K1" s="48"/>
      <c r="L1"/>
      <c r="M1"/>
      <c r="N1"/>
      <c r="O1"/>
      <c r="P1"/>
      <c r="Q1"/>
      <c r="R1"/>
      <c r="S1"/>
      <c r="T1"/>
      <c r="U1"/>
      <c r="V1"/>
      <c r="W1"/>
      <c r="X1"/>
      <c r="Y1"/>
      <c r="Z1" s="24"/>
      <c r="AA1" s="23"/>
    </row>
    <row r="2" spans="1:31" s="50" customFormat="1" ht="30" customHeight="1">
      <c r="A2" s="25"/>
      <c r="B2" s="111">
        <v>46113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25"/>
    </row>
    <row r="3" spans="1:31" s="50" customFormat="1" ht="9.9499999999999993" customHeight="1">
      <c r="A3" s="26"/>
      <c r="B3" s="27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3"/>
      <c r="O3" s="23"/>
      <c r="P3" s="23"/>
      <c r="Q3" s="23"/>
      <c r="R3" s="23"/>
      <c r="S3" s="29"/>
      <c r="T3" s="29"/>
      <c r="U3" s="29"/>
      <c r="V3" s="29"/>
      <c r="W3" s="29"/>
      <c r="X3" s="29"/>
      <c r="Y3" s="29"/>
      <c r="Z3" s="29"/>
      <c r="AA3" s="25"/>
    </row>
    <row r="4" spans="1:31" s="50" customFormat="1" ht="24.95" customHeight="1">
      <c r="A4" s="26"/>
      <c r="B4" s="113" t="s">
        <v>26</v>
      </c>
      <c r="C4" s="114"/>
      <c r="D4" s="114"/>
      <c r="E4" s="114"/>
      <c r="F4" s="23"/>
      <c r="G4" s="23"/>
      <c r="H4" s="28"/>
      <c r="I4" s="28"/>
      <c r="J4" s="28"/>
      <c r="K4" s="28"/>
      <c r="L4" s="28"/>
      <c r="M4" s="28"/>
      <c r="N4" s="23"/>
      <c r="O4" s="23"/>
      <c r="P4" s="23"/>
      <c r="Q4" s="23"/>
      <c r="R4" s="23"/>
      <c r="S4" s="29"/>
      <c r="T4" s="29"/>
      <c r="U4" s="29"/>
      <c r="V4" s="29"/>
      <c r="W4" s="29"/>
      <c r="X4" s="29"/>
      <c r="Y4" s="29"/>
      <c r="Z4" s="29"/>
      <c r="AA4" s="25"/>
    </row>
    <row r="5" spans="1:31" s="50" customFormat="1" ht="24.95" customHeight="1">
      <c r="A5" s="26"/>
      <c r="B5" s="115" t="s">
        <v>27</v>
      </c>
      <c r="C5" s="116"/>
      <c r="D5" s="116"/>
      <c r="E5" s="116"/>
      <c r="F5" s="117">
        <v>46113</v>
      </c>
      <c r="G5" s="118"/>
      <c r="H5" s="118"/>
      <c r="I5" s="118"/>
      <c r="J5" s="118"/>
      <c r="K5" s="118"/>
      <c r="L5" s="118"/>
      <c r="M5" s="118"/>
      <c r="N5" s="115" t="s">
        <v>28</v>
      </c>
      <c r="O5" s="116"/>
      <c r="P5" s="116"/>
      <c r="Q5" s="116"/>
      <c r="R5" s="119">
        <v>46147</v>
      </c>
      <c r="S5" s="120"/>
      <c r="T5" s="120"/>
      <c r="U5" s="120"/>
      <c r="V5" s="120"/>
      <c r="W5" s="120"/>
      <c r="X5" s="120"/>
      <c r="Y5" s="120"/>
      <c r="Z5" s="120"/>
      <c r="AA5" s="25"/>
    </row>
    <row r="6" spans="1:31" s="50" customFormat="1" ht="24.95" customHeight="1">
      <c r="A6" s="26"/>
      <c r="B6" s="125" t="s">
        <v>29</v>
      </c>
      <c r="C6" s="126"/>
      <c r="D6" s="126"/>
      <c r="E6" s="126"/>
      <c r="F6" s="127" t="s">
        <v>30</v>
      </c>
      <c r="G6" s="127"/>
      <c r="H6" s="127"/>
      <c r="I6" s="127"/>
      <c r="J6" s="127"/>
      <c r="K6" s="127"/>
      <c r="L6" s="127"/>
      <c r="M6" s="127"/>
      <c r="N6" s="125" t="s">
        <v>31</v>
      </c>
      <c r="O6" s="126"/>
      <c r="P6" s="126"/>
      <c r="Q6" s="126"/>
      <c r="R6" s="128"/>
      <c r="S6" s="128"/>
      <c r="T6" s="128"/>
      <c r="U6" s="128"/>
      <c r="V6" s="128"/>
      <c r="W6" s="128"/>
      <c r="X6" s="128"/>
      <c r="Y6" s="128"/>
      <c r="Z6" s="128"/>
      <c r="AA6" s="25"/>
    </row>
    <row r="7" spans="1:31" s="50" customFormat="1" ht="24.95" customHeight="1">
      <c r="A7" s="26"/>
      <c r="B7" s="129" t="s">
        <v>32</v>
      </c>
      <c r="C7" s="130"/>
      <c r="D7" s="130"/>
      <c r="E7" s="130"/>
      <c r="F7" s="131" t="s">
        <v>33</v>
      </c>
      <c r="G7" s="131"/>
      <c r="H7" s="131"/>
      <c r="I7" s="131"/>
      <c r="J7" s="131"/>
      <c r="K7" s="131"/>
      <c r="L7" s="131"/>
      <c r="M7" s="131"/>
      <c r="N7" s="129" t="s">
        <v>17</v>
      </c>
      <c r="O7" s="130"/>
      <c r="P7" s="130"/>
      <c r="Q7" s="130"/>
      <c r="R7" s="131" t="s">
        <v>34</v>
      </c>
      <c r="S7" s="131"/>
      <c r="T7" s="131"/>
      <c r="U7" s="131"/>
      <c r="V7" s="131"/>
      <c r="W7" s="131"/>
      <c r="X7" s="131"/>
      <c r="Y7" s="131"/>
      <c r="Z7" s="131"/>
      <c r="AA7" s="25"/>
    </row>
    <row r="8" spans="1:31" s="50" customFormat="1" ht="23.1" customHeight="1">
      <c r="A8" s="26"/>
      <c r="B8" s="140" t="s">
        <v>39</v>
      </c>
      <c r="C8" s="141"/>
      <c r="D8" s="141"/>
      <c r="E8" s="141"/>
      <c r="F8" s="140" t="s">
        <v>40</v>
      </c>
      <c r="G8" s="141"/>
      <c r="H8" s="141"/>
      <c r="I8" s="141"/>
      <c r="J8" s="140" t="s">
        <v>35</v>
      </c>
      <c r="K8" s="141"/>
      <c r="L8" s="141"/>
      <c r="M8" s="141"/>
      <c r="N8" s="140" t="s">
        <v>36</v>
      </c>
      <c r="O8" s="141"/>
      <c r="P8" s="141"/>
      <c r="Q8" s="141"/>
      <c r="R8" s="140" t="s">
        <v>37</v>
      </c>
      <c r="S8" s="141"/>
      <c r="T8" s="141"/>
      <c r="U8" s="141"/>
      <c r="V8" s="140" t="s">
        <v>38</v>
      </c>
      <c r="W8" s="141"/>
      <c r="X8" s="141"/>
      <c r="Y8" s="141"/>
      <c r="Z8" s="141"/>
      <c r="AA8" s="25"/>
    </row>
    <row r="9" spans="1:31" s="50" customFormat="1" ht="9.9499999999999993" customHeight="1">
      <c r="A9" s="26"/>
      <c r="B9" s="132"/>
      <c r="C9" s="133"/>
      <c r="D9" s="133"/>
      <c r="E9" s="133"/>
      <c r="F9" s="132"/>
      <c r="G9" s="133"/>
      <c r="H9" s="133"/>
      <c r="I9" s="133"/>
      <c r="J9" s="132"/>
      <c r="K9" s="133"/>
      <c r="L9" s="133"/>
      <c r="M9" s="133"/>
      <c r="N9" s="132"/>
      <c r="O9" s="133"/>
      <c r="P9" s="133"/>
      <c r="Q9" s="133"/>
      <c r="R9" s="132"/>
      <c r="S9" s="133"/>
      <c r="T9" s="133"/>
      <c r="U9" s="133"/>
      <c r="V9" s="134"/>
      <c r="W9" s="135"/>
      <c r="X9" s="135"/>
      <c r="Y9" s="135"/>
      <c r="Z9" s="135"/>
      <c r="AA9" s="25"/>
    </row>
    <row r="10" spans="1:31" s="50" customFormat="1" ht="24.95" hidden="1" customHeight="1">
      <c r="A10" s="26"/>
      <c r="B10" s="121" t="s">
        <v>35</v>
      </c>
      <c r="C10" s="122"/>
      <c r="D10" s="122"/>
      <c r="E10" s="122"/>
      <c r="F10" s="122"/>
      <c r="G10" s="122"/>
      <c r="H10" s="122" t="s">
        <v>36</v>
      </c>
      <c r="I10" s="122"/>
      <c r="J10" s="122"/>
      <c r="K10" s="122"/>
      <c r="L10" s="122"/>
      <c r="M10" s="122"/>
      <c r="N10" s="123" t="s">
        <v>37</v>
      </c>
      <c r="O10" s="122"/>
      <c r="P10" s="122"/>
      <c r="Q10" s="122"/>
      <c r="R10" s="122"/>
      <c r="S10" s="122"/>
      <c r="T10" s="122" t="s">
        <v>38</v>
      </c>
      <c r="U10" s="122"/>
      <c r="V10" s="122"/>
      <c r="W10" s="122"/>
      <c r="X10" s="122"/>
      <c r="Y10" s="122"/>
      <c r="Z10" s="124"/>
      <c r="AA10" s="25"/>
    </row>
    <row r="11" spans="1:31" s="50" customFormat="1" ht="24.95" hidden="1" customHeight="1">
      <c r="A11" s="26"/>
      <c r="B11" s="136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8"/>
      <c r="U11" s="138"/>
      <c r="V11" s="138"/>
      <c r="W11" s="138"/>
      <c r="X11" s="138"/>
      <c r="Y11" s="138"/>
      <c r="Z11" s="139"/>
      <c r="AA11" s="25"/>
    </row>
    <row r="12" spans="1:31" s="50" customFormat="1" ht="9.9499999999999993" hidden="1" customHeight="1">
      <c r="A12" s="26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1"/>
      <c r="U12" s="31"/>
      <c r="V12" s="31"/>
      <c r="W12" s="31"/>
      <c r="X12" s="31"/>
      <c r="Y12" s="31"/>
      <c r="Z12" s="31"/>
      <c r="AA12" s="25"/>
    </row>
    <row r="13" spans="1:31" s="50" customFormat="1" ht="24.95" customHeight="1">
      <c r="A13" s="26"/>
      <c r="AA13" s="25"/>
      <c r="AE13" s="51"/>
    </row>
    <row r="14" spans="1:31" s="50" customFormat="1" ht="24.95" customHeight="1">
      <c r="A14" s="26"/>
      <c r="AA14" s="25"/>
    </row>
    <row r="15" spans="1:31" s="50" customFormat="1" ht="9.9499999999999993" hidden="1" customHeight="1">
      <c r="A15" s="26"/>
      <c r="B15" s="30"/>
      <c r="C15" s="32"/>
      <c r="D15" s="32"/>
      <c r="E15" s="32"/>
      <c r="F15" s="32"/>
      <c r="G15" s="30"/>
      <c r="H15" s="32"/>
      <c r="I15" s="32"/>
      <c r="J15" s="32"/>
      <c r="K15" s="32"/>
      <c r="L15" s="30"/>
      <c r="M15" s="32"/>
      <c r="N15" s="32"/>
      <c r="O15" s="32"/>
      <c r="P15" s="32"/>
      <c r="Q15" s="30"/>
      <c r="R15" s="32"/>
      <c r="S15" s="32"/>
      <c r="T15" s="32"/>
      <c r="U15" s="32"/>
      <c r="V15" s="30"/>
      <c r="W15" s="32"/>
      <c r="X15" s="32"/>
      <c r="Y15" s="32"/>
      <c r="Z15" s="32"/>
      <c r="AA15" s="25"/>
    </row>
    <row r="16" spans="1:31" s="50" customFormat="1" ht="24.95" hidden="1" customHeight="1">
      <c r="A16" s="26"/>
      <c r="B16" s="142" t="s">
        <v>41</v>
      </c>
      <c r="C16" s="143"/>
      <c r="D16" s="143"/>
      <c r="E16" s="143"/>
      <c r="F16" s="143"/>
      <c r="G16" s="144" t="s">
        <v>42</v>
      </c>
      <c r="H16" s="143"/>
      <c r="I16" s="143"/>
      <c r="J16" s="143"/>
      <c r="K16" s="143"/>
      <c r="L16" s="144" t="s">
        <v>43</v>
      </c>
      <c r="M16" s="143"/>
      <c r="N16" s="143"/>
      <c r="O16" s="143"/>
      <c r="P16" s="143"/>
      <c r="Q16" s="144" t="s">
        <v>44</v>
      </c>
      <c r="R16" s="143"/>
      <c r="S16" s="143"/>
      <c r="T16" s="143"/>
      <c r="U16" s="143"/>
      <c r="V16" s="144" t="s">
        <v>45</v>
      </c>
      <c r="W16" s="143"/>
      <c r="X16" s="143"/>
      <c r="Y16" s="143"/>
      <c r="Z16" s="143"/>
      <c r="AA16" s="25"/>
    </row>
    <row r="17" spans="1:30" s="50" customFormat="1" ht="24.95" hidden="1" customHeight="1">
      <c r="A17" s="26"/>
      <c r="B17" s="132"/>
      <c r="C17" s="145"/>
      <c r="D17" s="145"/>
      <c r="E17" s="145"/>
      <c r="F17" s="145"/>
      <c r="G17" s="132"/>
      <c r="H17" s="145"/>
      <c r="I17" s="145"/>
      <c r="J17" s="145"/>
      <c r="K17" s="145"/>
      <c r="L17" s="132"/>
      <c r="M17" s="145"/>
      <c r="N17" s="145"/>
      <c r="O17" s="145"/>
      <c r="P17" s="145"/>
      <c r="Q17" s="132"/>
      <c r="R17" s="145"/>
      <c r="S17" s="145"/>
      <c r="T17" s="145"/>
      <c r="U17" s="145"/>
      <c r="V17" s="132"/>
      <c r="W17" s="145"/>
      <c r="X17" s="145"/>
      <c r="Y17" s="145"/>
      <c r="Z17" s="145"/>
      <c r="AA17" s="25"/>
    </row>
    <row r="18" spans="1:30" s="50" customFormat="1" ht="24.95" hidden="1" customHeight="1">
      <c r="A18" s="26"/>
      <c r="B18" s="144" t="s">
        <v>46</v>
      </c>
      <c r="C18" s="146"/>
      <c r="D18" s="146"/>
      <c r="E18" s="146"/>
      <c r="F18" s="146"/>
      <c r="G18" s="144" t="s">
        <v>47</v>
      </c>
      <c r="H18" s="146"/>
      <c r="I18" s="146"/>
      <c r="J18" s="146"/>
      <c r="K18" s="146"/>
      <c r="L18" s="144" t="s">
        <v>48</v>
      </c>
      <c r="M18" s="146"/>
      <c r="N18" s="146"/>
      <c r="O18" s="146"/>
      <c r="P18" s="146"/>
      <c r="Q18" s="144" t="s">
        <v>49</v>
      </c>
      <c r="R18" s="146"/>
      <c r="S18" s="146"/>
      <c r="T18" s="146"/>
      <c r="U18" s="146"/>
      <c r="V18" s="144" t="s">
        <v>50</v>
      </c>
      <c r="W18" s="146"/>
      <c r="X18" s="146"/>
      <c r="Y18" s="146"/>
      <c r="Z18" s="146"/>
      <c r="AA18" s="25"/>
    </row>
    <row r="19" spans="1:30" s="50" customFormat="1" ht="24.95" hidden="1" customHeight="1">
      <c r="A19" s="26"/>
      <c r="B19" s="132"/>
      <c r="C19" s="145"/>
      <c r="D19" s="145"/>
      <c r="E19" s="145"/>
      <c r="F19" s="145"/>
      <c r="G19" s="132"/>
      <c r="H19" s="145"/>
      <c r="I19" s="145"/>
      <c r="J19" s="145"/>
      <c r="K19" s="145"/>
      <c r="L19" s="132"/>
      <c r="M19" s="145"/>
      <c r="N19" s="145"/>
      <c r="O19" s="145"/>
      <c r="P19" s="145"/>
      <c r="Q19" s="132"/>
      <c r="R19" s="145"/>
      <c r="S19" s="145"/>
      <c r="T19" s="145"/>
      <c r="U19" s="145"/>
      <c r="V19" s="132"/>
      <c r="W19" s="145"/>
      <c r="X19" s="145"/>
      <c r="Y19" s="145"/>
      <c r="Z19" s="145"/>
      <c r="AA19" s="25"/>
    </row>
    <row r="20" spans="1:30" s="50" customFormat="1" ht="9.9499999999999993" customHeight="1">
      <c r="A20" s="26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25"/>
      <c r="AD20" s="51"/>
    </row>
    <row r="21" spans="1:30" s="50" customFormat="1" ht="24.95" customHeight="1">
      <c r="A21" s="26"/>
      <c r="B21" s="34" t="s">
        <v>51</v>
      </c>
      <c r="C21" s="26"/>
      <c r="D21" s="26"/>
      <c r="E21" s="26"/>
      <c r="F21" s="35"/>
      <c r="G21" s="36"/>
      <c r="H21" s="36"/>
      <c r="I21" s="36"/>
      <c r="J21" s="36"/>
      <c r="K21" s="36"/>
      <c r="L21" s="36"/>
      <c r="M21" s="36"/>
      <c r="N21" s="36"/>
      <c r="O21" s="113" t="s">
        <v>52</v>
      </c>
      <c r="P21" s="149"/>
      <c r="Q21" s="149"/>
      <c r="R21" s="149"/>
      <c r="S21" s="36"/>
      <c r="T21" s="36"/>
      <c r="U21" s="36"/>
      <c r="V21" s="38"/>
      <c r="W21" s="39"/>
      <c r="X21" s="39"/>
      <c r="Y21" s="39"/>
      <c r="Z21" s="39"/>
      <c r="AA21" s="25"/>
      <c r="AD21" s="51"/>
    </row>
    <row r="22" spans="1:30" s="50" customFormat="1" ht="24.95" customHeight="1">
      <c r="A22" s="25"/>
      <c r="B22" s="150" t="s">
        <v>53</v>
      </c>
      <c r="C22" s="150"/>
      <c r="D22" s="150"/>
      <c r="E22" s="150"/>
      <c r="F22" s="150"/>
      <c r="G22" s="150"/>
      <c r="H22" s="151" t="s">
        <v>54</v>
      </c>
      <c r="I22" s="151"/>
      <c r="J22" s="151"/>
      <c r="K22" s="151"/>
      <c r="L22" s="151"/>
      <c r="M22" s="151"/>
      <c r="N22" s="40"/>
      <c r="O22" s="150" t="s">
        <v>55</v>
      </c>
      <c r="P22" s="150"/>
      <c r="Q22" s="150"/>
      <c r="R22" s="150"/>
      <c r="S22" s="150"/>
      <c r="T22" s="150"/>
      <c r="U22" s="151" t="s">
        <v>56</v>
      </c>
      <c r="V22" s="151"/>
      <c r="W22" s="151"/>
      <c r="X22" s="151"/>
      <c r="Y22" s="151"/>
      <c r="Z22" s="151"/>
      <c r="AA22" s="25"/>
    </row>
    <row r="23" spans="1:30" s="50" customFormat="1" ht="23.1" customHeight="1">
      <c r="A23" s="26"/>
      <c r="B23" s="152" t="s">
        <v>57</v>
      </c>
      <c r="C23" s="152"/>
      <c r="D23" s="152"/>
      <c r="E23" s="152"/>
      <c r="F23" s="152"/>
      <c r="G23" s="152"/>
      <c r="H23" s="148">
        <v>2156880</v>
      </c>
      <c r="I23" s="148"/>
      <c r="J23" s="148"/>
      <c r="K23" s="148"/>
      <c r="L23" s="148"/>
      <c r="M23" s="148"/>
      <c r="N23" s="41"/>
      <c r="O23" s="152" t="s">
        <v>58</v>
      </c>
      <c r="P23" s="152"/>
      <c r="Q23" s="152"/>
      <c r="R23" s="152"/>
      <c r="S23" s="152"/>
      <c r="T23" s="152"/>
      <c r="U23" s="153">
        <v>169290</v>
      </c>
      <c r="V23" s="153"/>
      <c r="W23" s="153"/>
      <c r="X23" s="153"/>
      <c r="Y23" s="153"/>
      <c r="Z23" s="153"/>
      <c r="AA23" s="25"/>
    </row>
    <row r="24" spans="1:30" s="50" customFormat="1" ht="23.1" customHeight="1">
      <c r="A24" s="26"/>
      <c r="B24" s="147" t="s">
        <v>59</v>
      </c>
      <c r="C24" s="147"/>
      <c r="D24" s="147"/>
      <c r="E24" s="147"/>
      <c r="F24" s="147"/>
      <c r="G24" s="147"/>
      <c r="H24" s="148">
        <v>510840</v>
      </c>
      <c r="I24" s="148"/>
      <c r="J24" s="148"/>
      <c r="K24" s="148"/>
      <c r="L24" s="148"/>
      <c r="M24" s="148"/>
      <c r="N24" s="41"/>
      <c r="O24" s="147" t="s">
        <v>60</v>
      </c>
      <c r="P24" s="147"/>
      <c r="Q24" s="147"/>
      <c r="R24" s="147"/>
      <c r="S24" s="147"/>
      <c r="T24" s="147"/>
      <c r="U24" s="148">
        <v>128130</v>
      </c>
      <c r="V24" s="148"/>
      <c r="W24" s="148"/>
      <c r="X24" s="148"/>
      <c r="Y24" s="148"/>
      <c r="Z24" s="148"/>
      <c r="AA24" s="25"/>
    </row>
    <row r="25" spans="1:30" s="50" customFormat="1" ht="23.1" customHeight="1">
      <c r="A25" s="26"/>
      <c r="B25" s="147" t="s">
        <v>61</v>
      </c>
      <c r="C25" s="147"/>
      <c r="D25" s="147"/>
      <c r="E25" s="147"/>
      <c r="F25" s="147"/>
      <c r="G25" s="147"/>
      <c r="H25" s="148">
        <v>653824</v>
      </c>
      <c r="I25" s="148"/>
      <c r="J25" s="148"/>
      <c r="K25" s="148"/>
      <c r="L25" s="148"/>
      <c r="M25" s="148"/>
      <c r="N25" s="41"/>
      <c r="O25" s="147" t="s">
        <v>62</v>
      </c>
      <c r="P25" s="147"/>
      <c r="Q25" s="147"/>
      <c r="R25" s="147"/>
      <c r="S25" s="147"/>
      <c r="T25" s="147"/>
      <c r="U25" s="148">
        <v>16830</v>
      </c>
      <c r="V25" s="148"/>
      <c r="W25" s="148"/>
      <c r="X25" s="148"/>
      <c r="Y25" s="148"/>
      <c r="Z25" s="148"/>
      <c r="AA25" s="25"/>
    </row>
    <row r="26" spans="1:30" s="50" customFormat="1" ht="23.1" customHeight="1">
      <c r="A26" s="26"/>
      <c r="B26" s="147" t="s">
        <v>63</v>
      </c>
      <c r="C26" s="147"/>
      <c r="D26" s="147"/>
      <c r="E26" s="147"/>
      <c r="F26" s="147"/>
      <c r="G26" s="147"/>
      <c r="H26" s="148">
        <v>105590</v>
      </c>
      <c r="I26" s="148"/>
      <c r="J26" s="148"/>
      <c r="K26" s="148"/>
      <c r="L26" s="148"/>
      <c r="M26" s="148"/>
      <c r="N26" s="41"/>
      <c r="O26" s="147" t="s">
        <v>64</v>
      </c>
      <c r="P26" s="147"/>
      <c r="Q26" s="147"/>
      <c r="R26" s="147"/>
      <c r="S26" s="147"/>
      <c r="T26" s="147"/>
      <c r="U26" s="148">
        <v>32070</v>
      </c>
      <c r="V26" s="148"/>
      <c r="W26" s="148"/>
      <c r="X26" s="148"/>
      <c r="Y26" s="148"/>
      <c r="Z26" s="148"/>
      <c r="AA26" s="25"/>
    </row>
    <row r="27" spans="1:30" s="50" customFormat="1" ht="23.1" customHeight="1">
      <c r="A27" s="26"/>
      <c r="B27" s="147" t="s">
        <v>65</v>
      </c>
      <c r="C27" s="147"/>
      <c r="D27" s="147"/>
      <c r="E27" s="147"/>
      <c r="F27" s="147"/>
      <c r="G27" s="147"/>
      <c r="H27" s="148">
        <v>50000</v>
      </c>
      <c r="I27" s="148"/>
      <c r="J27" s="148"/>
      <c r="K27" s="148"/>
      <c r="L27" s="148"/>
      <c r="M27" s="148"/>
      <c r="N27" s="41"/>
      <c r="O27" s="147" t="s">
        <v>77</v>
      </c>
      <c r="P27" s="147"/>
      <c r="Q27" s="147"/>
      <c r="R27" s="147"/>
      <c r="S27" s="147"/>
      <c r="T27" s="147"/>
      <c r="U27" s="148"/>
      <c r="V27" s="148"/>
      <c r="W27" s="148"/>
      <c r="X27" s="148"/>
      <c r="Y27" s="148"/>
      <c r="Z27" s="148"/>
      <c r="AA27" s="25"/>
    </row>
    <row r="28" spans="1:30" s="50" customFormat="1" ht="23.1" customHeight="1">
      <c r="A28" s="26"/>
      <c r="B28" s="147" t="s">
        <v>66</v>
      </c>
      <c r="C28" s="147"/>
      <c r="D28" s="147"/>
      <c r="E28" s="147"/>
      <c r="F28" s="147"/>
      <c r="G28" s="147"/>
      <c r="H28" s="148">
        <v>87000</v>
      </c>
      <c r="I28" s="148"/>
      <c r="J28" s="148"/>
      <c r="K28" s="148"/>
      <c r="L28" s="148"/>
      <c r="M28" s="148"/>
      <c r="N28" s="41"/>
      <c r="O28" s="147" t="s">
        <v>78</v>
      </c>
      <c r="P28" s="147"/>
      <c r="Q28" s="147"/>
      <c r="R28" s="147"/>
      <c r="S28" s="147"/>
      <c r="T28" s="147"/>
      <c r="U28" s="148"/>
      <c r="V28" s="148"/>
      <c r="W28" s="148"/>
      <c r="X28" s="148"/>
      <c r="Y28" s="148"/>
      <c r="Z28" s="148"/>
      <c r="AA28" s="25"/>
    </row>
    <row r="29" spans="1:30" s="50" customFormat="1" ht="23.1" customHeight="1">
      <c r="A29" s="26"/>
      <c r="B29" s="147"/>
      <c r="C29" s="147"/>
      <c r="D29" s="147"/>
      <c r="E29" s="147"/>
      <c r="F29" s="147"/>
      <c r="G29" s="147"/>
      <c r="H29" s="148"/>
      <c r="I29" s="148"/>
      <c r="J29" s="148"/>
      <c r="K29" s="148"/>
      <c r="L29" s="148"/>
      <c r="M29" s="148"/>
      <c r="N29" s="41"/>
      <c r="O29" s="147" t="s">
        <v>79</v>
      </c>
      <c r="P29" s="147"/>
      <c r="Q29" s="147"/>
      <c r="R29" s="147"/>
      <c r="S29" s="147"/>
      <c r="T29" s="147"/>
      <c r="U29" s="148"/>
      <c r="V29" s="148"/>
      <c r="W29" s="148"/>
      <c r="X29" s="148"/>
      <c r="Y29" s="148"/>
      <c r="Z29" s="148"/>
      <c r="AA29" s="25"/>
    </row>
    <row r="30" spans="1:30" s="50" customFormat="1" ht="23.1" hidden="1" customHeight="1">
      <c r="A30" s="26"/>
      <c r="B30" s="147"/>
      <c r="C30" s="147"/>
      <c r="D30" s="147"/>
      <c r="E30" s="147"/>
      <c r="F30" s="147"/>
      <c r="G30" s="147"/>
      <c r="H30" s="148"/>
      <c r="I30" s="148"/>
      <c r="J30" s="148"/>
      <c r="K30" s="148"/>
      <c r="L30" s="148"/>
      <c r="M30" s="148"/>
      <c r="N30" s="41"/>
      <c r="O30" s="147"/>
      <c r="P30" s="147"/>
      <c r="Q30" s="147"/>
      <c r="R30" s="147"/>
      <c r="S30" s="147"/>
      <c r="T30" s="147"/>
      <c r="U30" s="148"/>
      <c r="V30" s="148"/>
      <c r="W30" s="148"/>
      <c r="X30" s="148"/>
      <c r="Y30" s="148"/>
      <c r="Z30" s="148"/>
      <c r="AA30" s="25"/>
    </row>
    <row r="31" spans="1:30" s="50" customFormat="1" ht="23.1" hidden="1" customHeight="1">
      <c r="A31" s="26"/>
      <c r="B31" s="147"/>
      <c r="C31" s="147"/>
      <c r="D31" s="147"/>
      <c r="E31" s="147"/>
      <c r="F31" s="147"/>
      <c r="G31" s="147"/>
      <c r="H31" s="148"/>
      <c r="I31" s="148"/>
      <c r="J31" s="148"/>
      <c r="K31" s="148"/>
      <c r="L31" s="148"/>
      <c r="M31" s="148"/>
      <c r="N31" s="41"/>
      <c r="O31" s="147"/>
      <c r="P31" s="147"/>
      <c r="Q31" s="147"/>
      <c r="R31" s="147"/>
      <c r="S31" s="147"/>
      <c r="T31" s="147"/>
      <c r="U31" s="148"/>
      <c r="V31" s="148"/>
      <c r="W31" s="148"/>
      <c r="X31" s="148"/>
      <c r="Y31" s="148"/>
      <c r="Z31" s="148"/>
      <c r="AA31" s="25"/>
    </row>
    <row r="32" spans="1:30" s="50" customFormat="1" ht="23.1" hidden="1" customHeight="1">
      <c r="A32" s="26"/>
      <c r="B32" s="147"/>
      <c r="C32" s="147"/>
      <c r="D32" s="147"/>
      <c r="E32" s="147"/>
      <c r="F32" s="147"/>
      <c r="G32" s="147"/>
      <c r="H32" s="148"/>
      <c r="I32" s="148"/>
      <c r="J32" s="148"/>
      <c r="K32" s="148"/>
      <c r="L32" s="148"/>
      <c r="M32" s="148"/>
      <c r="N32" s="41"/>
      <c r="O32" s="147"/>
      <c r="P32" s="147"/>
      <c r="Q32" s="147"/>
      <c r="R32" s="147"/>
      <c r="S32" s="147"/>
      <c r="T32" s="147"/>
      <c r="U32" s="148"/>
      <c r="V32" s="148"/>
      <c r="W32" s="148"/>
      <c r="X32" s="148"/>
      <c r="Y32" s="148"/>
      <c r="Z32" s="148"/>
      <c r="AA32" s="25"/>
    </row>
    <row r="33" spans="1:27" s="50" customFormat="1" ht="23.1" hidden="1" customHeight="1">
      <c r="A33" s="26"/>
      <c r="B33" s="147"/>
      <c r="C33" s="147"/>
      <c r="D33" s="147"/>
      <c r="E33" s="147"/>
      <c r="F33" s="147"/>
      <c r="G33" s="147"/>
      <c r="H33" s="148"/>
      <c r="I33" s="148"/>
      <c r="J33" s="148"/>
      <c r="K33" s="148"/>
      <c r="L33" s="148"/>
      <c r="M33" s="148"/>
      <c r="N33" s="41"/>
      <c r="O33" s="147"/>
      <c r="P33" s="147"/>
      <c r="Q33" s="147"/>
      <c r="R33" s="147"/>
      <c r="S33" s="147"/>
      <c r="T33" s="147"/>
      <c r="U33" s="148"/>
      <c r="V33" s="148"/>
      <c r="W33" s="148"/>
      <c r="X33" s="148"/>
      <c r="Y33" s="148"/>
      <c r="Z33" s="148"/>
      <c r="AA33" s="25"/>
    </row>
    <row r="34" spans="1:27" s="50" customFormat="1" ht="23.1" hidden="1" customHeight="1">
      <c r="A34" s="26"/>
      <c r="B34" s="147"/>
      <c r="C34" s="147"/>
      <c r="D34" s="147"/>
      <c r="E34" s="147"/>
      <c r="F34" s="147"/>
      <c r="G34" s="147"/>
      <c r="H34" s="148"/>
      <c r="I34" s="148"/>
      <c r="J34" s="148"/>
      <c r="K34" s="148"/>
      <c r="L34" s="148"/>
      <c r="M34" s="148"/>
      <c r="N34" s="41"/>
      <c r="O34" s="147"/>
      <c r="P34" s="147"/>
      <c r="Q34" s="147"/>
      <c r="R34" s="147"/>
      <c r="S34" s="147"/>
      <c r="T34" s="147"/>
      <c r="U34" s="148"/>
      <c r="V34" s="148"/>
      <c r="W34" s="148"/>
      <c r="X34" s="148"/>
      <c r="Y34" s="148"/>
      <c r="Z34" s="148"/>
      <c r="AA34" s="25"/>
    </row>
    <row r="35" spans="1:27" s="50" customFormat="1" ht="23.1" hidden="1" customHeight="1">
      <c r="A35" s="26"/>
      <c r="B35" s="147"/>
      <c r="C35" s="147"/>
      <c r="D35" s="147"/>
      <c r="E35" s="147"/>
      <c r="F35" s="147"/>
      <c r="G35" s="147"/>
      <c r="H35" s="148"/>
      <c r="I35" s="148"/>
      <c r="J35" s="148"/>
      <c r="K35" s="148"/>
      <c r="L35" s="148"/>
      <c r="M35" s="148"/>
      <c r="N35" s="41"/>
      <c r="O35" s="147"/>
      <c r="P35" s="147"/>
      <c r="Q35" s="147"/>
      <c r="R35" s="147"/>
      <c r="S35" s="147"/>
      <c r="T35" s="147"/>
      <c r="U35" s="148"/>
      <c r="V35" s="148"/>
      <c r="W35" s="148"/>
      <c r="X35" s="148"/>
      <c r="Y35" s="148"/>
      <c r="Z35" s="148"/>
      <c r="AA35" s="25"/>
    </row>
    <row r="36" spans="1:27" s="50" customFormat="1" ht="23.1" hidden="1" customHeight="1">
      <c r="A36" s="26"/>
      <c r="B36" s="147"/>
      <c r="C36" s="147"/>
      <c r="D36" s="147"/>
      <c r="E36" s="147"/>
      <c r="F36" s="147"/>
      <c r="G36" s="147"/>
      <c r="H36" s="148"/>
      <c r="I36" s="148"/>
      <c r="J36" s="148"/>
      <c r="K36" s="148"/>
      <c r="L36" s="148"/>
      <c r="M36" s="148"/>
      <c r="N36" s="41"/>
      <c r="O36" s="147"/>
      <c r="P36" s="147"/>
      <c r="Q36" s="147"/>
      <c r="R36" s="147"/>
      <c r="S36" s="147"/>
      <c r="T36" s="147"/>
      <c r="U36" s="148"/>
      <c r="V36" s="148"/>
      <c r="W36" s="148"/>
      <c r="X36" s="148"/>
      <c r="Y36" s="148"/>
      <c r="Z36" s="148"/>
      <c r="AA36" s="25"/>
    </row>
    <row r="37" spans="1:27" s="50" customFormat="1" ht="23.1" hidden="1" customHeight="1">
      <c r="A37" s="26"/>
      <c r="B37" s="147"/>
      <c r="C37" s="147"/>
      <c r="D37" s="147"/>
      <c r="E37" s="147"/>
      <c r="F37" s="147"/>
      <c r="G37" s="147"/>
      <c r="H37" s="148"/>
      <c r="I37" s="148"/>
      <c r="J37" s="148"/>
      <c r="K37" s="148"/>
      <c r="L37" s="148"/>
      <c r="M37" s="148"/>
      <c r="N37" s="41"/>
      <c r="O37" s="147"/>
      <c r="P37" s="147"/>
      <c r="Q37" s="147"/>
      <c r="R37" s="147"/>
      <c r="S37" s="147"/>
      <c r="T37" s="147"/>
      <c r="U37" s="148"/>
      <c r="V37" s="148"/>
      <c r="W37" s="148"/>
      <c r="X37" s="148"/>
      <c r="Y37" s="148"/>
      <c r="Z37" s="148"/>
      <c r="AA37" s="25"/>
    </row>
    <row r="38" spans="1:27" s="50" customFormat="1" ht="23.1" hidden="1" customHeight="1">
      <c r="A38" s="26"/>
      <c r="B38" s="147"/>
      <c r="C38" s="147"/>
      <c r="D38" s="147"/>
      <c r="E38" s="147"/>
      <c r="F38" s="147"/>
      <c r="G38" s="147"/>
      <c r="H38" s="148"/>
      <c r="I38" s="148"/>
      <c r="J38" s="148"/>
      <c r="K38" s="148"/>
      <c r="L38" s="148"/>
      <c r="M38" s="148"/>
      <c r="N38" s="41"/>
      <c r="O38" s="147"/>
      <c r="P38" s="147"/>
      <c r="Q38" s="147"/>
      <c r="R38" s="147"/>
      <c r="S38" s="147"/>
      <c r="T38" s="147"/>
      <c r="U38" s="148"/>
      <c r="V38" s="148"/>
      <c r="W38" s="148"/>
      <c r="X38" s="148"/>
      <c r="Y38" s="148"/>
      <c r="Z38" s="148"/>
      <c r="AA38" s="25"/>
    </row>
    <row r="39" spans="1:27" s="50" customFormat="1" ht="23.1" hidden="1" customHeight="1">
      <c r="A39" s="26"/>
      <c r="B39" s="147"/>
      <c r="C39" s="147"/>
      <c r="D39" s="147"/>
      <c r="E39" s="147"/>
      <c r="F39" s="147"/>
      <c r="G39" s="147"/>
      <c r="H39" s="148"/>
      <c r="I39" s="148"/>
      <c r="J39" s="148"/>
      <c r="K39" s="148"/>
      <c r="L39" s="148"/>
      <c r="M39" s="148"/>
      <c r="N39" s="41"/>
      <c r="O39" s="147"/>
      <c r="P39" s="147"/>
      <c r="Q39" s="147"/>
      <c r="R39" s="147"/>
      <c r="S39" s="147"/>
      <c r="T39" s="147"/>
      <c r="U39" s="148"/>
      <c r="V39" s="148"/>
      <c r="W39" s="148"/>
      <c r="X39" s="148"/>
      <c r="Y39" s="148"/>
      <c r="Z39" s="148"/>
      <c r="AA39" s="25"/>
    </row>
    <row r="40" spans="1:27" s="50" customFormat="1" ht="23.1" hidden="1" customHeight="1">
      <c r="A40" s="26"/>
      <c r="B40" s="147"/>
      <c r="C40" s="147"/>
      <c r="D40" s="147"/>
      <c r="E40" s="147"/>
      <c r="F40" s="147"/>
      <c r="G40" s="147"/>
      <c r="H40" s="148"/>
      <c r="I40" s="148"/>
      <c r="J40" s="148"/>
      <c r="K40" s="148"/>
      <c r="L40" s="148"/>
      <c r="M40" s="148"/>
      <c r="N40" s="41"/>
      <c r="O40" s="147"/>
      <c r="P40" s="147"/>
      <c r="Q40" s="147"/>
      <c r="R40" s="147"/>
      <c r="S40" s="147"/>
      <c r="T40" s="147"/>
      <c r="U40" s="148"/>
      <c r="V40" s="148"/>
      <c r="W40" s="148"/>
      <c r="X40" s="148"/>
      <c r="Y40" s="148"/>
      <c r="Z40" s="148"/>
      <c r="AA40" s="25"/>
    </row>
    <row r="41" spans="1:27" s="50" customFormat="1" ht="23.1" hidden="1" customHeight="1">
      <c r="A41" s="26"/>
      <c r="B41" s="147"/>
      <c r="C41" s="147"/>
      <c r="D41" s="147"/>
      <c r="E41" s="147"/>
      <c r="F41" s="147"/>
      <c r="G41" s="147"/>
      <c r="H41" s="148"/>
      <c r="I41" s="148"/>
      <c r="J41" s="148"/>
      <c r="K41" s="148"/>
      <c r="L41" s="148"/>
      <c r="M41" s="148"/>
      <c r="N41" s="41"/>
      <c r="O41" s="147"/>
      <c r="P41" s="147"/>
      <c r="Q41" s="147"/>
      <c r="R41" s="147"/>
      <c r="S41" s="147"/>
      <c r="T41" s="147"/>
      <c r="U41" s="148"/>
      <c r="V41" s="148"/>
      <c r="W41" s="148"/>
      <c r="X41" s="148"/>
      <c r="Y41" s="148"/>
      <c r="Z41" s="148"/>
      <c r="AA41" s="25"/>
    </row>
    <row r="42" spans="1:27" s="50" customFormat="1" ht="23.1" hidden="1" customHeight="1">
      <c r="A42" s="26"/>
      <c r="B42" s="147"/>
      <c r="C42" s="147"/>
      <c r="D42" s="147"/>
      <c r="E42" s="147"/>
      <c r="F42" s="147"/>
      <c r="G42" s="147"/>
      <c r="H42" s="148"/>
      <c r="I42" s="148"/>
      <c r="J42" s="148"/>
      <c r="K42" s="148"/>
      <c r="L42" s="148"/>
      <c r="M42" s="148"/>
      <c r="N42" s="41"/>
      <c r="O42" s="147"/>
      <c r="P42" s="147"/>
      <c r="Q42" s="147"/>
      <c r="R42" s="147"/>
      <c r="S42" s="147"/>
      <c r="T42" s="147"/>
      <c r="U42" s="148"/>
      <c r="V42" s="148"/>
      <c r="W42" s="148"/>
      <c r="X42" s="148"/>
      <c r="Y42" s="148"/>
      <c r="Z42" s="148"/>
      <c r="AA42" s="25"/>
    </row>
    <row r="43" spans="1:27" s="50" customFormat="1" ht="23.1" hidden="1" customHeight="1">
      <c r="A43" s="26"/>
      <c r="B43" s="147"/>
      <c r="C43" s="147"/>
      <c r="D43" s="147"/>
      <c r="E43" s="147"/>
      <c r="F43" s="147"/>
      <c r="G43" s="147"/>
      <c r="H43" s="148"/>
      <c r="I43" s="148"/>
      <c r="J43" s="148"/>
      <c r="K43" s="148"/>
      <c r="L43" s="148"/>
      <c r="M43" s="148"/>
      <c r="N43" s="41"/>
      <c r="O43" s="147"/>
      <c r="P43" s="147"/>
      <c r="Q43" s="147"/>
      <c r="R43" s="147"/>
      <c r="S43" s="147"/>
      <c r="T43" s="147"/>
      <c r="U43" s="148"/>
      <c r="V43" s="148"/>
      <c r="W43" s="148"/>
      <c r="X43" s="148"/>
      <c r="Y43" s="148"/>
      <c r="Z43" s="148"/>
      <c r="AA43" s="25"/>
    </row>
    <row r="44" spans="1:27" s="50" customFormat="1" ht="23.1" hidden="1" customHeight="1">
      <c r="A44" s="26"/>
      <c r="B44" s="147"/>
      <c r="C44" s="147"/>
      <c r="D44" s="147"/>
      <c r="E44" s="147"/>
      <c r="F44" s="147"/>
      <c r="G44" s="147"/>
      <c r="H44" s="148"/>
      <c r="I44" s="148"/>
      <c r="J44" s="148"/>
      <c r="K44" s="148"/>
      <c r="L44" s="148"/>
      <c r="M44" s="148"/>
      <c r="N44" s="41"/>
      <c r="O44" s="147"/>
      <c r="P44" s="147"/>
      <c r="Q44" s="147"/>
      <c r="R44" s="147"/>
      <c r="S44" s="147"/>
      <c r="T44" s="147"/>
      <c r="U44" s="148"/>
      <c r="V44" s="148"/>
      <c r="W44" s="148"/>
      <c r="X44" s="148"/>
      <c r="Y44" s="148"/>
      <c r="Z44" s="148"/>
      <c r="AA44" s="25"/>
    </row>
    <row r="45" spans="1:27" s="50" customFormat="1" ht="23.1" hidden="1" customHeight="1">
      <c r="A45" s="26"/>
      <c r="B45" s="147"/>
      <c r="C45" s="147"/>
      <c r="D45" s="147"/>
      <c r="E45" s="147"/>
      <c r="F45" s="147"/>
      <c r="G45" s="147"/>
      <c r="H45" s="148"/>
      <c r="I45" s="148"/>
      <c r="J45" s="148"/>
      <c r="K45" s="148"/>
      <c r="L45" s="148"/>
      <c r="M45" s="148"/>
      <c r="N45" s="41"/>
      <c r="O45" s="147"/>
      <c r="P45" s="147"/>
      <c r="Q45" s="147"/>
      <c r="R45" s="147"/>
      <c r="S45" s="147"/>
      <c r="T45" s="147"/>
      <c r="U45" s="148"/>
      <c r="V45" s="148"/>
      <c r="W45" s="148"/>
      <c r="X45" s="148"/>
      <c r="Y45" s="148"/>
      <c r="Z45" s="148"/>
      <c r="AA45" s="25"/>
    </row>
    <row r="46" spans="1:27" s="50" customFormat="1" ht="23.1" hidden="1" customHeight="1">
      <c r="A46" s="26"/>
      <c r="B46" s="147"/>
      <c r="C46" s="147"/>
      <c r="D46" s="147"/>
      <c r="E46" s="147"/>
      <c r="F46" s="147"/>
      <c r="G46" s="147"/>
      <c r="H46" s="148"/>
      <c r="I46" s="148"/>
      <c r="J46" s="148"/>
      <c r="K46" s="148"/>
      <c r="L46" s="148"/>
      <c r="M46" s="148"/>
      <c r="N46" s="41"/>
      <c r="O46" s="147"/>
      <c r="P46" s="147"/>
      <c r="Q46" s="147"/>
      <c r="R46" s="147"/>
      <c r="S46" s="147"/>
      <c r="T46" s="147"/>
      <c r="U46" s="148"/>
      <c r="V46" s="148"/>
      <c r="W46" s="148"/>
      <c r="X46" s="148"/>
      <c r="Y46" s="148"/>
      <c r="Z46" s="148"/>
      <c r="AA46" s="25"/>
    </row>
    <row r="47" spans="1:27" s="50" customFormat="1" ht="23.1" hidden="1" customHeight="1">
      <c r="A47" s="26"/>
      <c r="B47" s="147"/>
      <c r="C47" s="147"/>
      <c r="D47" s="147"/>
      <c r="E47" s="147"/>
      <c r="F47" s="147"/>
      <c r="G47" s="147"/>
      <c r="H47" s="148"/>
      <c r="I47" s="148"/>
      <c r="J47" s="148"/>
      <c r="K47" s="148"/>
      <c r="L47" s="148"/>
      <c r="M47" s="148"/>
      <c r="N47" s="41"/>
      <c r="O47" s="147"/>
      <c r="P47" s="147"/>
      <c r="Q47" s="147"/>
      <c r="R47" s="147"/>
      <c r="S47" s="147"/>
      <c r="T47" s="147"/>
      <c r="U47" s="148"/>
      <c r="V47" s="148"/>
      <c r="W47" s="148"/>
      <c r="X47" s="148"/>
      <c r="Y47" s="148"/>
      <c r="Z47" s="148"/>
      <c r="AA47" s="25"/>
    </row>
    <row r="48" spans="1:27" s="50" customFormat="1" ht="23.1" hidden="1" customHeight="1">
      <c r="A48" s="26"/>
      <c r="B48" s="147"/>
      <c r="C48" s="147"/>
      <c r="D48" s="147"/>
      <c r="E48" s="147"/>
      <c r="F48" s="147"/>
      <c r="G48" s="147"/>
      <c r="H48" s="148"/>
      <c r="I48" s="148"/>
      <c r="J48" s="148"/>
      <c r="K48" s="148"/>
      <c r="L48" s="148"/>
      <c r="M48" s="148"/>
      <c r="N48" s="41"/>
      <c r="O48" s="147"/>
      <c r="P48" s="147"/>
      <c r="Q48" s="147"/>
      <c r="R48" s="147"/>
      <c r="S48" s="147"/>
      <c r="T48" s="147"/>
      <c r="U48" s="148"/>
      <c r="V48" s="148"/>
      <c r="W48" s="148"/>
      <c r="X48" s="148"/>
      <c r="Y48" s="148"/>
      <c r="Z48" s="148"/>
      <c r="AA48" s="25"/>
    </row>
    <row r="49" spans="1:27" s="50" customFormat="1" ht="23.1" hidden="1" customHeight="1">
      <c r="A49" s="26"/>
      <c r="B49" s="147"/>
      <c r="C49" s="147"/>
      <c r="D49" s="147"/>
      <c r="E49" s="147"/>
      <c r="F49" s="147"/>
      <c r="G49" s="147"/>
      <c r="H49" s="148"/>
      <c r="I49" s="148"/>
      <c r="J49" s="148"/>
      <c r="K49" s="148"/>
      <c r="L49" s="148"/>
      <c r="M49" s="148"/>
      <c r="N49" s="41"/>
      <c r="O49" s="147"/>
      <c r="P49" s="147"/>
      <c r="Q49" s="147"/>
      <c r="R49" s="147"/>
      <c r="S49" s="147"/>
      <c r="T49" s="147"/>
      <c r="U49" s="148"/>
      <c r="V49" s="148"/>
      <c r="W49" s="148"/>
      <c r="X49" s="148"/>
      <c r="Y49" s="148"/>
      <c r="Z49" s="148"/>
      <c r="AA49" s="25"/>
    </row>
    <row r="50" spans="1:27" s="50" customFormat="1" ht="23.1" hidden="1" customHeight="1">
      <c r="A50" s="26"/>
      <c r="B50" s="147"/>
      <c r="C50" s="147"/>
      <c r="D50" s="147"/>
      <c r="E50" s="147"/>
      <c r="F50" s="147"/>
      <c r="G50" s="147"/>
      <c r="H50" s="148"/>
      <c r="I50" s="148"/>
      <c r="J50" s="148"/>
      <c r="K50" s="148"/>
      <c r="L50" s="148"/>
      <c r="M50" s="148"/>
      <c r="N50" s="41"/>
      <c r="O50" s="147"/>
      <c r="P50" s="147"/>
      <c r="Q50" s="147"/>
      <c r="R50" s="147"/>
      <c r="S50" s="147"/>
      <c r="T50" s="147"/>
      <c r="U50" s="148"/>
      <c r="V50" s="148"/>
      <c r="W50" s="148"/>
      <c r="X50" s="148"/>
      <c r="Y50" s="148"/>
      <c r="Z50" s="148"/>
      <c r="AA50" s="25"/>
    </row>
    <row r="51" spans="1:27" s="50" customFormat="1" ht="23.1" hidden="1" customHeight="1">
      <c r="A51" s="26"/>
      <c r="B51" s="147"/>
      <c r="C51" s="147"/>
      <c r="D51" s="147"/>
      <c r="E51" s="147"/>
      <c r="F51" s="147"/>
      <c r="G51" s="147"/>
      <c r="H51" s="148"/>
      <c r="I51" s="148"/>
      <c r="J51" s="148"/>
      <c r="K51" s="148"/>
      <c r="L51" s="148"/>
      <c r="M51" s="148"/>
      <c r="N51" s="41"/>
      <c r="O51" s="147"/>
      <c r="P51" s="147"/>
      <c r="Q51" s="147"/>
      <c r="R51" s="147"/>
      <c r="S51" s="147"/>
      <c r="T51" s="147"/>
      <c r="U51" s="148"/>
      <c r="V51" s="148"/>
      <c r="W51" s="148"/>
      <c r="X51" s="148"/>
      <c r="Y51" s="148"/>
      <c r="Z51" s="148"/>
      <c r="AA51" s="25"/>
    </row>
    <row r="52" spans="1:27" s="50" customFormat="1" ht="23.1" hidden="1" customHeight="1">
      <c r="A52" s="26"/>
      <c r="B52" s="147"/>
      <c r="C52" s="147"/>
      <c r="D52" s="147"/>
      <c r="E52" s="147"/>
      <c r="F52" s="147"/>
      <c r="G52" s="147"/>
      <c r="H52" s="148"/>
      <c r="I52" s="148"/>
      <c r="J52" s="148"/>
      <c r="K52" s="148"/>
      <c r="L52" s="148"/>
      <c r="M52" s="148"/>
      <c r="N52" s="41"/>
      <c r="O52" s="147"/>
      <c r="P52" s="147"/>
      <c r="Q52" s="147"/>
      <c r="R52" s="147"/>
      <c r="S52" s="147"/>
      <c r="T52" s="147"/>
      <c r="U52" s="148"/>
      <c r="V52" s="148"/>
      <c r="W52" s="148"/>
      <c r="X52" s="148"/>
      <c r="Y52" s="148"/>
      <c r="Z52" s="148"/>
      <c r="AA52" s="25"/>
    </row>
    <row r="53" spans="1:27" s="50" customFormat="1" ht="24.95" customHeight="1">
      <c r="A53" s="26"/>
      <c r="B53" s="154" t="s">
        <v>67</v>
      </c>
      <c r="C53" s="154"/>
      <c r="D53" s="154"/>
      <c r="E53" s="154"/>
      <c r="F53" s="154"/>
      <c r="G53" s="154"/>
      <c r="H53" s="155">
        <v>3564134</v>
      </c>
      <c r="I53" s="155"/>
      <c r="J53" s="155"/>
      <c r="K53" s="155"/>
      <c r="L53" s="155"/>
      <c r="M53" s="155"/>
      <c r="N53" s="41"/>
      <c r="O53" s="154" t="s">
        <v>68</v>
      </c>
      <c r="P53" s="154"/>
      <c r="Q53" s="154"/>
      <c r="R53" s="154"/>
      <c r="S53" s="154"/>
      <c r="T53" s="154"/>
      <c r="U53" s="155">
        <v>346320</v>
      </c>
      <c r="V53" s="155"/>
      <c r="W53" s="155"/>
      <c r="X53" s="155"/>
      <c r="Y53" s="155"/>
      <c r="Z53" s="155"/>
      <c r="AA53" s="25"/>
    </row>
    <row r="54" spans="1:27" s="50" customFormat="1" ht="9.9499999999999993" customHeight="1">
      <c r="A54" s="26"/>
      <c r="B54" s="42"/>
      <c r="C54" s="42"/>
      <c r="D54" s="42"/>
      <c r="E54" s="42"/>
      <c r="F54" s="42"/>
      <c r="G54" s="42"/>
      <c r="H54" s="25"/>
      <c r="I54" s="25"/>
      <c r="J54" s="25"/>
      <c r="K54" s="25"/>
      <c r="L54" s="25"/>
      <c r="M54" s="25"/>
      <c r="N54" s="41"/>
      <c r="O54" s="25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25"/>
    </row>
    <row r="55" spans="1:27" s="50" customFormat="1" ht="24.95" customHeight="1" thickBot="1">
      <c r="A55" s="25"/>
      <c r="B55" s="162" t="s">
        <v>69</v>
      </c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4">
        <v>3217814</v>
      </c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25"/>
    </row>
    <row r="56" spans="1:27" s="50" customFormat="1" ht="15" customHeigh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</row>
    <row r="57" spans="1:27" s="50" customFormat="1" ht="24.95" customHeight="1">
      <c r="A57" s="26"/>
      <c r="B57" s="166" t="s">
        <v>70</v>
      </c>
      <c r="C57" s="166"/>
      <c r="D57" s="166"/>
      <c r="E57" s="166"/>
      <c r="F57" s="166"/>
      <c r="G57" s="166"/>
      <c r="H57" s="166"/>
      <c r="I57" s="166"/>
      <c r="J57" s="166"/>
      <c r="K57" s="166"/>
      <c r="L57" s="166"/>
      <c r="M57" s="25"/>
      <c r="N57" s="41"/>
      <c r="O57" s="25"/>
      <c r="P57" s="43"/>
      <c r="Q57" s="43"/>
      <c r="R57" s="43"/>
      <c r="S57" s="43"/>
      <c r="T57" s="43"/>
      <c r="U57" s="43"/>
      <c r="V57" s="43"/>
      <c r="W57" s="25"/>
      <c r="X57" s="25"/>
      <c r="Y57" s="25"/>
      <c r="Z57" s="25"/>
      <c r="AA57" s="25"/>
    </row>
    <row r="58" spans="1:27" s="50" customFormat="1" ht="24.95" customHeight="1">
      <c r="A58" s="26"/>
      <c r="B58" s="167" t="s">
        <v>71</v>
      </c>
      <c r="C58" s="167"/>
      <c r="D58" s="167"/>
      <c r="E58" s="167"/>
      <c r="F58" s="167"/>
      <c r="G58" s="167"/>
      <c r="H58" s="167"/>
      <c r="I58" s="167"/>
      <c r="J58" s="151" t="s">
        <v>72</v>
      </c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25"/>
    </row>
    <row r="59" spans="1:27" s="50" customFormat="1" ht="23.1" customHeight="1">
      <c r="A59" s="26"/>
      <c r="B59" s="156" t="s">
        <v>80</v>
      </c>
      <c r="C59" s="156"/>
      <c r="D59" s="156"/>
      <c r="E59" s="156"/>
      <c r="F59" s="156"/>
      <c r="G59" s="156"/>
      <c r="H59" s="156"/>
      <c r="I59" s="156"/>
      <c r="J59" s="157" t="s">
        <v>73</v>
      </c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8"/>
      <c r="V59" s="158"/>
      <c r="W59" s="158"/>
      <c r="X59" s="158"/>
      <c r="Y59" s="158"/>
      <c r="Z59" s="158"/>
      <c r="AA59" s="25"/>
    </row>
    <row r="60" spans="1:27" s="50" customFormat="1" ht="23.1" customHeight="1">
      <c r="A60" s="26"/>
      <c r="B60" s="159" t="s">
        <v>81</v>
      </c>
      <c r="C60" s="159"/>
      <c r="D60" s="159"/>
      <c r="E60" s="159"/>
      <c r="F60" s="159"/>
      <c r="G60" s="159"/>
      <c r="H60" s="159"/>
      <c r="I60" s="159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1"/>
      <c r="V60" s="161"/>
      <c r="W60" s="161"/>
      <c r="X60" s="161"/>
      <c r="Y60" s="161"/>
      <c r="Z60" s="161"/>
      <c r="AA60" s="25"/>
    </row>
    <row r="61" spans="1:27" s="50" customFormat="1" ht="23.1" customHeight="1">
      <c r="A61" s="26"/>
      <c r="B61" s="159" t="s">
        <v>81</v>
      </c>
      <c r="C61" s="159"/>
      <c r="D61" s="159"/>
      <c r="E61" s="159"/>
      <c r="F61" s="159"/>
      <c r="G61" s="159"/>
      <c r="H61" s="159"/>
      <c r="I61" s="159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1"/>
      <c r="V61" s="161"/>
      <c r="W61" s="161"/>
      <c r="X61" s="161"/>
      <c r="Y61" s="161"/>
      <c r="Z61" s="161"/>
      <c r="AA61" s="25"/>
    </row>
    <row r="62" spans="1:27" s="50" customFormat="1" ht="23.1" customHeight="1">
      <c r="A62" s="26"/>
      <c r="B62" s="52" t="s">
        <v>82</v>
      </c>
      <c r="C62" s="52"/>
      <c r="D62" s="52"/>
      <c r="E62" s="52"/>
      <c r="F62" s="52"/>
      <c r="G62" s="52"/>
      <c r="H62" s="52"/>
      <c r="I62" s="52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1"/>
      <c r="V62" s="161"/>
      <c r="W62" s="161"/>
      <c r="X62" s="161"/>
      <c r="Y62" s="161"/>
      <c r="Z62" s="161"/>
      <c r="AA62" s="25"/>
    </row>
    <row r="63" spans="1:27" s="50" customFormat="1" ht="23.1" customHeight="1">
      <c r="A63" s="26"/>
      <c r="B63" s="52" t="s">
        <v>83</v>
      </c>
      <c r="C63" s="52"/>
      <c r="D63" s="52"/>
      <c r="E63" s="52"/>
      <c r="F63" s="52"/>
      <c r="G63" s="52"/>
      <c r="H63" s="52"/>
      <c r="I63" s="52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1"/>
      <c r="V63" s="161"/>
      <c r="W63" s="161"/>
      <c r="X63" s="161"/>
      <c r="Y63" s="161"/>
      <c r="Z63" s="161"/>
      <c r="AA63" s="25"/>
    </row>
    <row r="64" spans="1:27" s="50" customFormat="1" ht="23.1" customHeight="1">
      <c r="A64" s="26"/>
      <c r="B64" s="159"/>
      <c r="C64" s="159"/>
      <c r="D64" s="159"/>
      <c r="E64" s="159"/>
      <c r="F64" s="159"/>
      <c r="G64" s="159"/>
      <c r="H64" s="159"/>
      <c r="I64" s="159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1"/>
      <c r="V64" s="161"/>
      <c r="W64" s="161"/>
      <c r="X64" s="161"/>
      <c r="Y64" s="161"/>
      <c r="Z64" s="161"/>
      <c r="AA64" s="25"/>
    </row>
    <row r="65" spans="1:27" s="50" customFormat="1" ht="23.1" hidden="1" customHeight="1">
      <c r="A65" s="26"/>
      <c r="B65" s="159"/>
      <c r="C65" s="159"/>
      <c r="D65" s="159"/>
      <c r="E65" s="159"/>
      <c r="F65" s="159"/>
      <c r="G65" s="159"/>
      <c r="H65" s="159"/>
      <c r="I65" s="159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1"/>
      <c r="V65" s="161"/>
      <c r="W65" s="161"/>
      <c r="X65" s="161"/>
      <c r="Y65" s="161"/>
      <c r="Z65" s="161"/>
      <c r="AA65" s="25"/>
    </row>
    <row r="66" spans="1:27" s="50" customFormat="1" ht="23.1" hidden="1" customHeight="1">
      <c r="A66" s="26"/>
      <c r="B66" s="159"/>
      <c r="C66" s="159"/>
      <c r="D66" s="159"/>
      <c r="E66" s="159"/>
      <c r="F66" s="159"/>
      <c r="G66" s="159"/>
      <c r="H66" s="159"/>
      <c r="I66" s="159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1"/>
      <c r="V66" s="161"/>
      <c r="W66" s="161"/>
      <c r="X66" s="161"/>
      <c r="Y66" s="161"/>
      <c r="Z66" s="161"/>
      <c r="AA66" s="25"/>
    </row>
    <row r="67" spans="1:27" s="50" customFormat="1" ht="23.1" hidden="1" customHeight="1">
      <c r="A67" s="26"/>
      <c r="B67" s="159"/>
      <c r="C67" s="159"/>
      <c r="D67" s="159"/>
      <c r="E67" s="159"/>
      <c r="F67" s="159"/>
      <c r="G67" s="159"/>
      <c r="H67" s="159"/>
      <c r="I67" s="159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1"/>
      <c r="V67" s="161"/>
      <c r="W67" s="161"/>
      <c r="X67" s="161"/>
      <c r="Y67" s="161"/>
      <c r="Z67" s="161"/>
      <c r="AA67" s="25"/>
    </row>
    <row r="68" spans="1:27" s="50" customFormat="1" ht="23.1" hidden="1" customHeight="1">
      <c r="A68" s="26"/>
      <c r="B68" s="159"/>
      <c r="C68" s="159"/>
      <c r="D68" s="159"/>
      <c r="E68" s="159"/>
      <c r="F68" s="159"/>
      <c r="G68" s="159"/>
      <c r="H68" s="159"/>
      <c r="I68" s="159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1"/>
      <c r="V68" s="161"/>
      <c r="W68" s="161"/>
      <c r="X68" s="161"/>
      <c r="Y68" s="161"/>
      <c r="Z68" s="161"/>
      <c r="AA68" s="25"/>
    </row>
    <row r="69" spans="1:27" s="50" customFormat="1" ht="23.1" hidden="1" customHeight="1">
      <c r="A69" s="26"/>
      <c r="B69" s="159"/>
      <c r="C69" s="159"/>
      <c r="D69" s="159"/>
      <c r="E69" s="159"/>
      <c r="F69" s="159"/>
      <c r="G69" s="159"/>
      <c r="H69" s="159"/>
      <c r="I69" s="159"/>
      <c r="J69" s="160"/>
      <c r="K69" s="160"/>
      <c r="L69" s="160"/>
      <c r="M69" s="160"/>
      <c r="N69" s="160"/>
      <c r="O69" s="160"/>
      <c r="P69" s="160"/>
      <c r="Q69" s="160"/>
      <c r="R69" s="160"/>
      <c r="S69" s="160"/>
      <c r="T69" s="160"/>
      <c r="U69" s="161"/>
      <c r="V69" s="161"/>
      <c r="W69" s="161"/>
      <c r="X69" s="161"/>
      <c r="Y69" s="161"/>
      <c r="Z69" s="161"/>
      <c r="AA69" s="25"/>
    </row>
    <row r="70" spans="1:27" s="50" customFormat="1" ht="23.1" hidden="1" customHeight="1">
      <c r="A70" s="26"/>
      <c r="B70" s="159"/>
      <c r="C70" s="159"/>
      <c r="D70" s="159"/>
      <c r="E70" s="159"/>
      <c r="F70" s="159"/>
      <c r="G70" s="159"/>
      <c r="H70" s="159"/>
      <c r="I70" s="159"/>
      <c r="J70" s="160"/>
      <c r="K70" s="160"/>
      <c r="L70" s="160"/>
      <c r="M70" s="160"/>
      <c r="N70" s="160"/>
      <c r="O70" s="160"/>
      <c r="P70" s="160"/>
      <c r="Q70" s="160"/>
      <c r="R70" s="160"/>
      <c r="S70" s="160"/>
      <c r="T70" s="160"/>
      <c r="U70" s="161"/>
      <c r="V70" s="161"/>
      <c r="W70" s="161"/>
      <c r="X70" s="161"/>
      <c r="Y70" s="161"/>
      <c r="Z70" s="161"/>
      <c r="AA70" s="25"/>
    </row>
    <row r="71" spans="1:27" s="50" customFormat="1" ht="23.1" hidden="1" customHeight="1">
      <c r="A71" s="26"/>
      <c r="B71" s="159"/>
      <c r="C71" s="159"/>
      <c r="D71" s="159"/>
      <c r="E71" s="159"/>
      <c r="F71" s="159"/>
      <c r="G71" s="159"/>
      <c r="H71" s="159"/>
      <c r="I71" s="159"/>
      <c r="J71" s="160"/>
      <c r="K71" s="160"/>
      <c r="L71" s="160"/>
      <c r="M71" s="160"/>
      <c r="N71" s="160"/>
      <c r="O71" s="160"/>
      <c r="P71" s="160"/>
      <c r="Q71" s="160"/>
      <c r="R71" s="160"/>
      <c r="S71" s="160"/>
      <c r="T71" s="160"/>
      <c r="U71" s="161"/>
      <c r="V71" s="161"/>
      <c r="W71" s="161"/>
      <c r="X71" s="161"/>
      <c r="Y71" s="161"/>
      <c r="Z71" s="161"/>
      <c r="AA71" s="25"/>
    </row>
    <row r="72" spans="1:27" s="50" customFormat="1" ht="23.1" hidden="1" customHeight="1">
      <c r="A72" s="26"/>
      <c r="B72" s="159"/>
      <c r="C72" s="159"/>
      <c r="D72" s="159"/>
      <c r="E72" s="159"/>
      <c r="F72" s="159"/>
      <c r="G72" s="159"/>
      <c r="H72" s="159"/>
      <c r="I72" s="159"/>
      <c r="J72" s="160"/>
      <c r="K72" s="160"/>
      <c r="L72" s="160"/>
      <c r="M72" s="160"/>
      <c r="N72" s="160"/>
      <c r="O72" s="160"/>
      <c r="P72" s="160"/>
      <c r="Q72" s="160"/>
      <c r="R72" s="160"/>
      <c r="S72" s="160"/>
      <c r="T72" s="160"/>
      <c r="U72" s="161"/>
      <c r="V72" s="161"/>
      <c r="W72" s="161"/>
      <c r="X72" s="161"/>
      <c r="Y72" s="161"/>
      <c r="Z72" s="161"/>
      <c r="AA72" s="25"/>
    </row>
    <row r="73" spans="1:27" s="50" customFormat="1" ht="23.1" hidden="1" customHeight="1">
      <c r="A73" s="26"/>
      <c r="B73" s="159"/>
      <c r="C73" s="159"/>
      <c r="D73" s="159"/>
      <c r="E73" s="159"/>
      <c r="F73" s="159"/>
      <c r="G73" s="159"/>
      <c r="H73" s="159"/>
      <c r="I73" s="159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1"/>
      <c r="V73" s="161"/>
      <c r="W73" s="161"/>
      <c r="X73" s="161"/>
      <c r="Y73" s="161"/>
      <c r="Z73" s="161"/>
      <c r="AA73" s="25"/>
    </row>
    <row r="74" spans="1:27" s="50" customFormat="1" ht="23.1" hidden="1" customHeight="1">
      <c r="A74" s="26"/>
      <c r="B74" s="159"/>
      <c r="C74" s="159"/>
      <c r="D74" s="159"/>
      <c r="E74" s="159"/>
      <c r="F74" s="159"/>
      <c r="G74" s="159"/>
      <c r="H74" s="159"/>
      <c r="I74" s="159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1"/>
      <c r="V74" s="161"/>
      <c r="W74" s="161"/>
      <c r="X74" s="161"/>
      <c r="Y74" s="161"/>
      <c r="Z74" s="161"/>
      <c r="AA74" s="25"/>
    </row>
    <row r="75" spans="1:27" s="50" customFormat="1" ht="23.1" hidden="1" customHeight="1">
      <c r="A75" s="26"/>
      <c r="B75" s="159"/>
      <c r="C75" s="159"/>
      <c r="D75" s="159"/>
      <c r="E75" s="159"/>
      <c r="F75" s="159"/>
      <c r="G75" s="159"/>
      <c r="H75" s="159"/>
      <c r="I75" s="159"/>
      <c r="J75" s="160"/>
      <c r="K75" s="160"/>
      <c r="L75" s="160"/>
      <c r="M75" s="160"/>
      <c r="N75" s="160"/>
      <c r="O75" s="160"/>
      <c r="P75" s="160"/>
      <c r="Q75" s="160"/>
      <c r="R75" s="160"/>
      <c r="S75" s="160"/>
      <c r="T75" s="160"/>
      <c r="U75" s="161"/>
      <c r="V75" s="161"/>
      <c r="W75" s="161"/>
      <c r="X75" s="161"/>
      <c r="Y75" s="161"/>
      <c r="Z75" s="161"/>
      <c r="AA75" s="25"/>
    </row>
    <row r="76" spans="1:27" s="50" customFormat="1" ht="23.1" hidden="1" customHeight="1">
      <c r="A76" s="26"/>
      <c r="B76" s="159"/>
      <c r="C76" s="159"/>
      <c r="D76" s="159"/>
      <c r="E76" s="159"/>
      <c r="F76" s="159"/>
      <c r="G76" s="159"/>
      <c r="H76" s="159"/>
      <c r="I76" s="159"/>
      <c r="J76" s="160"/>
      <c r="K76" s="160"/>
      <c r="L76" s="160"/>
      <c r="M76" s="160"/>
      <c r="N76" s="160"/>
      <c r="O76" s="160"/>
      <c r="P76" s="160"/>
      <c r="Q76" s="160"/>
      <c r="R76" s="160"/>
      <c r="S76" s="160"/>
      <c r="T76" s="160"/>
      <c r="U76" s="161"/>
      <c r="V76" s="161"/>
      <c r="W76" s="161"/>
      <c r="X76" s="161"/>
      <c r="Y76" s="161"/>
      <c r="Z76" s="161"/>
      <c r="AA76" s="25"/>
    </row>
    <row r="77" spans="1:27" s="50" customFormat="1" ht="23.1" hidden="1" customHeight="1">
      <c r="A77" s="26"/>
      <c r="B77" s="159"/>
      <c r="C77" s="159"/>
      <c r="D77" s="159"/>
      <c r="E77" s="159"/>
      <c r="F77" s="159"/>
      <c r="G77" s="159"/>
      <c r="H77" s="159"/>
      <c r="I77" s="159"/>
      <c r="J77" s="160"/>
      <c r="K77" s="160"/>
      <c r="L77" s="160"/>
      <c r="M77" s="160"/>
      <c r="N77" s="160"/>
      <c r="O77" s="160"/>
      <c r="P77" s="160"/>
      <c r="Q77" s="160"/>
      <c r="R77" s="160"/>
      <c r="S77" s="160"/>
      <c r="T77" s="160"/>
      <c r="U77" s="161"/>
      <c r="V77" s="161"/>
      <c r="W77" s="161"/>
      <c r="X77" s="161"/>
      <c r="Y77" s="161"/>
      <c r="Z77" s="161"/>
      <c r="AA77" s="25"/>
    </row>
    <row r="78" spans="1:27" s="50" customFormat="1" ht="23.1" hidden="1" customHeight="1">
      <c r="A78" s="26"/>
      <c r="B78" s="159"/>
      <c r="C78" s="159"/>
      <c r="D78" s="159"/>
      <c r="E78" s="159"/>
      <c r="F78" s="159"/>
      <c r="G78" s="159"/>
      <c r="H78" s="159"/>
      <c r="I78" s="159"/>
      <c r="J78" s="160"/>
      <c r="K78" s="160"/>
      <c r="L78" s="160"/>
      <c r="M78" s="160"/>
      <c r="N78" s="160"/>
      <c r="O78" s="160"/>
      <c r="P78" s="160"/>
      <c r="Q78" s="160"/>
      <c r="R78" s="160"/>
      <c r="S78" s="160"/>
      <c r="T78" s="160"/>
      <c r="U78" s="161"/>
      <c r="V78" s="161"/>
      <c r="W78" s="161"/>
      <c r="X78" s="161"/>
      <c r="Y78" s="161"/>
      <c r="Z78" s="161"/>
      <c r="AA78" s="25"/>
    </row>
    <row r="79" spans="1:27" s="50" customFormat="1" ht="23.1" hidden="1" customHeight="1">
      <c r="A79" s="26"/>
      <c r="B79" s="159"/>
      <c r="C79" s="159"/>
      <c r="D79" s="159"/>
      <c r="E79" s="159"/>
      <c r="F79" s="159"/>
      <c r="G79" s="159"/>
      <c r="H79" s="159"/>
      <c r="I79" s="159"/>
      <c r="J79" s="160"/>
      <c r="K79" s="160"/>
      <c r="L79" s="160"/>
      <c r="M79" s="160"/>
      <c r="N79" s="160"/>
      <c r="O79" s="160"/>
      <c r="P79" s="160"/>
      <c r="Q79" s="160"/>
      <c r="R79" s="160"/>
      <c r="S79" s="160"/>
      <c r="T79" s="160"/>
      <c r="U79" s="161"/>
      <c r="V79" s="161"/>
      <c r="W79" s="161"/>
      <c r="X79" s="161"/>
      <c r="Y79" s="161"/>
      <c r="Z79" s="161"/>
      <c r="AA79" s="25"/>
    </row>
    <row r="80" spans="1:27" s="50" customFormat="1" ht="23.1" hidden="1" customHeight="1">
      <c r="A80" s="26"/>
      <c r="B80" s="159"/>
      <c r="C80" s="159"/>
      <c r="D80" s="159"/>
      <c r="E80" s="159"/>
      <c r="F80" s="159"/>
      <c r="G80" s="159"/>
      <c r="H80" s="159"/>
      <c r="I80" s="159"/>
      <c r="J80" s="160"/>
      <c r="K80" s="160"/>
      <c r="L80" s="160"/>
      <c r="M80" s="160"/>
      <c r="N80" s="160"/>
      <c r="O80" s="160"/>
      <c r="P80" s="160"/>
      <c r="Q80" s="160"/>
      <c r="R80" s="160"/>
      <c r="S80" s="160"/>
      <c r="T80" s="160"/>
      <c r="U80" s="161"/>
      <c r="V80" s="161"/>
      <c r="W80" s="161"/>
      <c r="X80" s="161"/>
      <c r="Y80" s="161"/>
      <c r="Z80" s="161"/>
      <c r="AA80" s="25"/>
    </row>
    <row r="81" spans="1:27" s="50" customFormat="1" ht="23.1" hidden="1" customHeight="1">
      <c r="A81" s="26"/>
      <c r="B81" s="159"/>
      <c r="C81" s="159"/>
      <c r="D81" s="159"/>
      <c r="E81" s="159"/>
      <c r="F81" s="159"/>
      <c r="G81" s="159"/>
      <c r="H81" s="159"/>
      <c r="I81" s="159"/>
      <c r="J81" s="160"/>
      <c r="K81" s="160"/>
      <c r="L81" s="160"/>
      <c r="M81" s="160"/>
      <c r="N81" s="160"/>
      <c r="O81" s="160"/>
      <c r="P81" s="160"/>
      <c r="Q81" s="160"/>
      <c r="R81" s="160"/>
      <c r="S81" s="160"/>
      <c r="T81" s="160"/>
      <c r="U81" s="161"/>
      <c r="V81" s="161"/>
      <c r="W81" s="161"/>
      <c r="X81" s="161"/>
      <c r="Y81" s="161"/>
      <c r="Z81" s="161"/>
      <c r="AA81" s="25"/>
    </row>
    <row r="82" spans="1:27" s="50" customFormat="1" ht="23.1" hidden="1" customHeight="1">
      <c r="A82" s="26"/>
      <c r="B82" s="159"/>
      <c r="C82" s="159"/>
      <c r="D82" s="159"/>
      <c r="E82" s="159"/>
      <c r="F82" s="159"/>
      <c r="G82" s="159"/>
      <c r="H82" s="159"/>
      <c r="I82" s="159"/>
      <c r="J82" s="160"/>
      <c r="K82" s="160"/>
      <c r="L82" s="160"/>
      <c r="M82" s="160"/>
      <c r="N82" s="160"/>
      <c r="O82" s="160"/>
      <c r="P82" s="160"/>
      <c r="Q82" s="160"/>
      <c r="R82" s="160"/>
      <c r="S82" s="160"/>
      <c r="T82" s="160"/>
      <c r="U82" s="161"/>
      <c r="V82" s="161"/>
      <c r="W82" s="161"/>
      <c r="X82" s="161"/>
      <c r="Y82" s="161"/>
      <c r="Z82" s="161"/>
      <c r="AA82" s="25"/>
    </row>
    <row r="83" spans="1:27" s="50" customFormat="1" ht="23.1" hidden="1" customHeight="1">
      <c r="A83" s="26"/>
      <c r="B83" s="159"/>
      <c r="C83" s="159"/>
      <c r="D83" s="159"/>
      <c r="E83" s="159"/>
      <c r="F83" s="159"/>
      <c r="G83" s="159"/>
      <c r="H83" s="159"/>
      <c r="I83" s="159"/>
      <c r="J83" s="160"/>
      <c r="K83" s="160"/>
      <c r="L83" s="160"/>
      <c r="M83" s="160"/>
      <c r="N83" s="160"/>
      <c r="O83" s="160"/>
      <c r="P83" s="160"/>
      <c r="Q83" s="160"/>
      <c r="R83" s="160"/>
      <c r="S83" s="160"/>
      <c r="T83" s="160"/>
      <c r="U83" s="161"/>
      <c r="V83" s="161"/>
      <c r="W83" s="161"/>
      <c r="X83" s="161"/>
      <c r="Y83" s="161"/>
      <c r="Z83" s="161"/>
      <c r="AA83" s="25"/>
    </row>
    <row r="84" spans="1:27" s="50" customFormat="1" ht="23.1" hidden="1" customHeight="1">
      <c r="A84" s="26"/>
      <c r="B84" s="159"/>
      <c r="C84" s="159"/>
      <c r="D84" s="159"/>
      <c r="E84" s="159"/>
      <c r="F84" s="159"/>
      <c r="G84" s="159"/>
      <c r="H84" s="159"/>
      <c r="I84" s="159"/>
      <c r="J84" s="160"/>
      <c r="K84" s="160"/>
      <c r="L84" s="160"/>
      <c r="M84" s="160"/>
      <c r="N84" s="160"/>
      <c r="O84" s="160"/>
      <c r="P84" s="160"/>
      <c r="Q84" s="160"/>
      <c r="R84" s="160"/>
      <c r="S84" s="160"/>
      <c r="T84" s="160"/>
      <c r="U84" s="161"/>
      <c r="V84" s="161"/>
      <c r="W84" s="161"/>
      <c r="X84" s="161"/>
      <c r="Y84" s="161"/>
      <c r="Z84" s="161"/>
      <c r="AA84" s="25"/>
    </row>
    <row r="85" spans="1:27" s="50" customFormat="1" ht="23.1" hidden="1" customHeight="1">
      <c r="A85" s="26"/>
      <c r="B85" s="159"/>
      <c r="C85" s="159"/>
      <c r="D85" s="159"/>
      <c r="E85" s="159"/>
      <c r="F85" s="159"/>
      <c r="G85" s="159"/>
      <c r="H85" s="159"/>
      <c r="I85" s="159"/>
      <c r="J85" s="160"/>
      <c r="K85" s="160"/>
      <c r="L85" s="160"/>
      <c r="M85" s="160"/>
      <c r="N85" s="160"/>
      <c r="O85" s="160"/>
      <c r="P85" s="160"/>
      <c r="Q85" s="160"/>
      <c r="R85" s="160"/>
      <c r="S85" s="160"/>
      <c r="T85" s="160"/>
      <c r="U85" s="161"/>
      <c r="V85" s="161"/>
      <c r="W85" s="161"/>
      <c r="X85" s="161"/>
      <c r="Y85" s="161"/>
      <c r="Z85" s="161"/>
      <c r="AA85" s="25"/>
    </row>
    <row r="86" spans="1:27" s="50" customFormat="1" ht="23.1" hidden="1" customHeight="1">
      <c r="A86" s="26"/>
      <c r="B86" s="159"/>
      <c r="C86" s="159"/>
      <c r="D86" s="159"/>
      <c r="E86" s="159"/>
      <c r="F86" s="159"/>
      <c r="G86" s="159"/>
      <c r="H86" s="159"/>
      <c r="I86" s="159"/>
      <c r="J86" s="160"/>
      <c r="K86" s="160"/>
      <c r="L86" s="160"/>
      <c r="M86" s="160"/>
      <c r="N86" s="160"/>
      <c r="O86" s="160"/>
      <c r="P86" s="160"/>
      <c r="Q86" s="160"/>
      <c r="R86" s="160"/>
      <c r="S86" s="160"/>
      <c r="T86" s="160"/>
      <c r="U86" s="161"/>
      <c r="V86" s="161"/>
      <c r="W86" s="161"/>
      <c r="X86" s="161"/>
      <c r="Y86" s="161"/>
      <c r="Z86" s="161"/>
      <c r="AA86" s="25"/>
    </row>
    <row r="87" spans="1:27" s="50" customFormat="1" ht="23.1" hidden="1" customHeight="1">
      <c r="A87" s="26"/>
      <c r="B87" s="159"/>
      <c r="C87" s="159"/>
      <c r="D87" s="159"/>
      <c r="E87" s="159"/>
      <c r="F87" s="159"/>
      <c r="G87" s="159"/>
      <c r="H87" s="159"/>
      <c r="I87" s="159"/>
      <c r="J87" s="160"/>
      <c r="K87" s="160"/>
      <c r="L87" s="160"/>
      <c r="M87" s="160"/>
      <c r="N87" s="160"/>
      <c r="O87" s="160"/>
      <c r="P87" s="160"/>
      <c r="Q87" s="160"/>
      <c r="R87" s="160"/>
      <c r="S87" s="160"/>
      <c r="T87" s="160"/>
      <c r="U87" s="161"/>
      <c r="V87" s="161"/>
      <c r="W87" s="161"/>
      <c r="X87" s="161"/>
      <c r="Y87" s="161"/>
      <c r="Z87" s="161"/>
      <c r="AA87" s="25"/>
    </row>
    <row r="88" spans="1:27" s="50" customFormat="1" ht="23.1" hidden="1" customHeight="1">
      <c r="A88" s="26"/>
      <c r="B88" s="159"/>
      <c r="C88" s="159"/>
      <c r="D88" s="159"/>
      <c r="E88" s="159"/>
      <c r="F88" s="159"/>
      <c r="G88" s="159"/>
      <c r="H88" s="159"/>
      <c r="I88" s="159"/>
      <c r="J88" s="160"/>
      <c r="K88" s="160"/>
      <c r="L88" s="160"/>
      <c r="M88" s="160"/>
      <c r="N88" s="160"/>
      <c r="O88" s="160"/>
      <c r="P88" s="160"/>
      <c r="Q88" s="160"/>
      <c r="R88" s="160"/>
      <c r="S88" s="160"/>
      <c r="T88" s="160"/>
      <c r="U88" s="173"/>
      <c r="V88" s="173"/>
      <c r="W88" s="173"/>
      <c r="X88" s="173"/>
      <c r="Y88" s="173"/>
      <c r="Z88" s="173"/>
      <c r="AA88" s="25"/>
    </row>
    <row r="89" spans="1:27" s="50" customFormat="1" ht="15" customHeight="1">
      <c r="A89" s="25"/>
      <c r="B89" s="44"/>
      <c r="C89" s="44"/>
      <c r="D89" s="44"/>
      <c r="E89" s="44"/>
      <c r="F89" s="44"/>
      <c r="G89" s="44"/>
      <c r="H89" s="45"/>
      <c r="I89" s="45"/>
      <c r="J89" s="45"/>
      <c r="K89" s="45"/>
      <c r="L89" s="45"/>
      <c r="M89" s="45"/>
      <c r="N89" s="45"/>
      <c r="O89" s="46"/>
      <c r="P89" s="46"/>
      <c r="Q89" s="46"/>
      <c r="R89" s="46"/>
      <c r="S89" s="46"/>
      <c r="T89" s="46"/>
      <c r="U89" s="47"/>
      <c r="V89" s="47"/>
      <c r="W89" s="47"/>
      <c r="X89" s="47"/>
      <c r="Y89" s="47"/>
      <c r="Z89" s="47"/>
      <c r="AA89" s="25"/>
    </row>
    <row r="90" spans="1:27" s="50" customFormat="1" ht="21.95" customHeight="1">
      <c r="A90" s="25"/>
      <c r="B90" s="168" t="s">
        <v>74</v>
      </c>
      <c r="C90" s="169"/>
      <c r="D90" s="169"/>
      <c r="E90" s="169"/>
      <c r="F90" s="169"/>
      <c r="G90" s="169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69"/>
      <c r="T90" s="169"/>
      <c r="U90" s="169"/>
      <c r="V90" s="169"/>
      <c r="W90" s="169"/>
      <c r="X90" s="169"/>
      <c r="Y90" s="169"/>
      <c r="Z90" s="169"/>
      <c r="AA90" s="25"/>
    </row>
    <row r="91" spans="1:27" s="50" customFormat="1" ht="21.95" customHeight="1">
      <c r="A91" s="25"/>
      <c r="B91" s="170">
        <v>46147</v>
      </c>
      <c r="C91" s="170"/>
      <c r="D91" s="170"/>
      <c r="E91" s="170"/>
      <c r="F91" s="170"/>
      <c r="G91" s="170"/>
      <c r="H91" s="170"/>
      <c r="I91" s="170"/>
      <c r="J91" s="170"/>
      <c r="K91" s="170"/>
      <c r="L91" s="170"/>
      <c r="M91" s="170"/>
      <c r="N91" s="170"/>
      <c r="O91" s="170"/>
      <c r="P91" s="170"/>
      <c r="Q91" s="170"/>
      <c r="R91" s="170"/>
      <c r="S91" s="170"/>
      <c r="T91" s="170"/>
      <c r="U91" s="170"/>
      <c r="V91" s="170"/>
      <c r="W91" s="170"/>
      <c r="X91" s="170"/>
      <c r="Y91" s="170"/>
      <c r="Z91" s="170"/>
      <c r="AA91" s="25"/>
    </row>
    <row r="92" spans="1:27" s="50" customFormat="1" ht="15" customHeigh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</row>
    <row r="93" spans="1:27" s="50" customFormat="1" ht="21.95" customHeight="1">
      <c r="A93" s="25"/>
      <c r="B93" s="171" t="s">
        <v>75</v>
      </c>
      <c r="C93" s="172"/>
      <c r="D93" s="172"/>
      <c r="E93" s="172"/>
      <c r="F93" s="172"/>
      <c r="G93" s="172"/>
      <c r="H93" s="172"/>
      <c r="I93" s="172"/>
      <c r="J93" s="172"/>
      <c r="K93" s="172"/>
      <c r="L93" s="172"/>
      <c r="M93" s="172"/>
      <c r="N93" s="172"/>
      <c r="O93" s="172"/>
      <c r="P93" s="172"/>
      <c r="Q93" s="172"/>
      <c r="R93" s="172"/>
      <c r="S93" s="172"/>
      <c r="T93" s="172"/>
      <c r="U93" s="172"/>
      <c r="V93" s="172"/>
      <c r="W93" s="172"/>
      <c r="X93" s="172"/>
      <c r="Y93" s="172"/>
      <c r="Z93" s="172"/>
      <c r="AA93" s="25"/>
    </row>
    <row r="94" spans="1:27" s="50" customFormat="1" ht="21.95" customHeight="1">
      <c r="A94" s="25"/>
      <c r="B94" s="171" t="s">
        <v>76</v>
      </c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2"/>
      <c r="P94" s="172"/>
      <c r="Q94" s="172"/>
      <c r="R94" s="172"/>
      <c r="S94" s="172"/>
      <c r="T94" s="172"/>
      <c r="U94" s="172"/>
      <c r="V94" s="172"/>
      <c r="W94" s="172"/>
      <c r="X94" s="172"/>
      <c r="Y94" s="172"/>
      <c r="Z94" s="172"/>
      <c r="AA94" s="25"/>
    </row>
    <row r="95" spans="1:27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</sheetData>
  <mergeCells count="252">
    <mergeCell ref="B90:Z90"/>
    <mergeCell ref="B91:Z91"/>
    <mergeCell ref="B93:Z93"/>
    <mergeCell ref="B94:Z94"/>
    <mergeCell ref="B86:I86"/>
    <mergeCell ref="J86:Z86"/>
    <mergeCell ref="B87:I87"/>
    <mergeCell ref="J87:Z87"/>
    <mergeCell ref="B88:I88"/>
    <mergeCell ref="J88:T88"/>
    <mergeCell ref="U88:Z88"/>
    <mergeCell ref="B83:I83"/>
    <mergeCell ref="J83:Z83"/>
    <mergeCell ref="B84:I84"/>
    <mergeCell ref="J84:Z84"/>
    <mergeCell ref="B85:I85"/>
    <mergeCell ref="J85:Z85"/>
    <mergeCell ref="B80:I80"/>
    <mergeCell ref="J80:Z80"/>
    <mergeCell ref="B81:I81"/>
    <mergeCell ref="J81:Z81"/>
    <mergeCell ref="B82:I82"/>
    <mergeCell ref="J82:Z82"/>
    <mergeCell ref="B77:I77"/>
    <mergeCell ref="J77:Z77"/>
    <mergeCell ref="B78:I78"/>
    <mergeCell ref="J78:Z78"/>
    <mergeCell ref="B79:I79"/>
    <mergeCell ref="J79:Z79"/>
    <mergeCell ref="B74:I74"/>
    <mergeCell ref="J74:Z74"/>
    <mergeCell ref="B75:I75"/>
    <mergeCell ref="J75:Z75"/>
    <mergeCell ref="B76:I76"/>
    <mergeCell ref="J76:Z76"/>
    <mergeCell ref="B71:I71"/>
    <mergeCell ref="J71:Z71"/>
    <mergeCell ref="B72:I72"/>
    <mergeCell ref="J72:Z72"/>
    <mergeCell ref="B73:I73"/>
    <mergeCell ref="J73:Z73"/>
    <mergeCell ref="B68:I68"/>
    <mergeCell ref="J68:Z68"/>
    <mergeCell ref="B69:I69"/>
    <mergeCell ref="J69:Z69"/>
    <mergeCell ref="B70:I70"/>
    <mergeCell ref="J70:Z70"/>
    <mergeCell ref="B65:I65"/>
    <mergeCell ref="J65:Z65"/>
    <mergeCell ref="B66:I66"/>
    <mergeCell ref="J66:Z66"/>
    <mergeCell ref="B67:I67"/>
    <mergeCell ref="J67:Z67"/>
    <mergeCell ref="J62:Z62"/>
    <mergeCell ref="J63:Z63"/>
    <mergeCell ref="B64:I64"/>
    <mergeCell ref="J64:Z64"/>
    <mergeCell ref="B59:I59"/>
    <mergeCell ref="J59:Z59"/>
    <mergeCell ref="B60:I60"/>
    <mergeCell ref="J60:Z60"/>
    <mergeCell ref="B61:I61"/>
    <mergeCell ref="J61:Z61"/>
    <mergeCell ref="B55:O55"/>
    <mergeCell ref="P55:Z55"/>
    <mergeCell ref="B57:L57"/>
    <mergeCell ref="B58:I58"/>
    <mergeCell ref="J58:T58"/>
    <mergeCell ref="U58:Z58"/>
    <mergeCell ref="B52:G52"/>
    <mergeCell ref="H52:M52"/>
    <mergeCell ref="O52:T52"/>
    <mergeCell ref="U52:Z52"/>
    <mergeCell ref="B53:G53"/>
    <mergeCell ref="H53:M53"/>
    <mergeCell ref="O53:T53"/>
    <mergeCell ref="U53:Z53"/>
    <mergeCell ref="B50:G50"/>
    <mergeCell ref="H50:M50"/>
    <mergeCell ref="O50:T50"/>
    <mergeCell ref="U50:Z50"/>
    <mergeCell ref="B51:G51"/>
    <mergeCell ref="H51:M51"/>
    <mergeCell ref="O51:T51"/>
    <mergeCell ref="U51:Z51"/>
    <mergeCell ref="B48:G48"/>
    <mergeCell ref="H48:M48"/>
    <mergeCell ref="O48:T48"/>
    <mergeCell ref="U48:Z48"/>
    <mergeCell ref="B49:G49"/>
    <mergeCell ref="H49:M49"/>
    <mergeCell ref="O49:T49"/>
    <mergeCell ref="U49:Z49"/>
    <mergeCell ref="B46:G46"/>
    <mergeCell ref="H46:M46"/>
    <mergeCell ref="O46:T46"/>
    <mergeCell ref="U46:Z46"/>
    <mergeCell ref="B47:G47"/>
    <mergeCell ref="H47:M47"/>
    <mergeCell ref="O47:T47"/>
    <mergeCell ref="U47:Z47"/>
    <mergeCell ref="B44:G44"/>
    <mergeCell ref="H44:M44"/>
    <mergeCell ref="O44:T44"/>
    <mergeCell ref="U44:Z44"/>
    <mergeCell ref="B45:G45"/>
    <mergeCell ref="H45:M45"/>
    <mergeCell ref="O45:T45"/>
    <mergeCell ref="U45:Z45"/>
    <mergeCell ref="B42:G42"/>
    <mergeCell ref="H42:M42"/>
    <mergeCell ref="O42:T42"/>
    <mergeCell ref="U42:Z42"/>
    <mergeCell ref="B43:G43"/>
    <mergeCell ref="H43:M43"/>
    <mergeCell ref="O43:T43"/>
    <mergeCell ref="U43:Z43"/>
    <mergeCell ref="B40:G40"/>
    <mergeCell ref="H40:M40"/>
    <mergeCell ref="O40:T40"/>
    <mergeCell ref="U40:Z40"/>
    <mergeCell ref="B41:G41"/>
    <mergeCell ref="H41:M41"/>
    <mergeCell ref="O41:T41"/>
    <mergeCell ref="U41:Z41"/>
    <mergeCell ref="B38:G38"/>
    <mergeCell ref="H38:M38"/>
    <mergeCell ref="O38:T38"/>
    <mergeCell ref="U38:Z38"/>
    <mergeCell ref="B39:G39"/>
    <mergeCell ref="H39:M39"/>
    <mergeCell ref="O39:T39"/>
    <mergeCell ref="U39:Z39"/>
    <mergeCell ref="B36:G36"/>
    <mergeCell ref="H36:M36"/>
    <mergeCell ref="O36:T36"/>
    <mergeCell ref="U36:Z36"/>
    <mergeCell ref="B37:G37"/>
    <mergeCell ref="H37:M37"/>
    <mergeCell ref="O37:T37"/>
    <mergeCell ref="U37:Z37"/>
    <mergeCell ref="B34:G34"/>
    <mergeCell ref="H34:M34"/>
    <mergeCell ref="O34:T34"/>
    <mergeCell ref="U34:Z34"/>
    <mergeCell ref="B35:G35"/>
    <mergeCell ref="H35:M35"/>
    <mergeCell ref="O35:T35"/>
    <mergeCell ref="U35:Z35"/>
    <mergeCell ref="B32:G32"/>
    <mergeCell ref="H32:M32"/>
    <mergeCell ref="O32:T32"/>
    <mergeCell ref="U32:Z32"/>
    <mergeCell ref="B33:G33"/>
    <mergeCell ref="H33:M33"/>
    <mergeCell ref="O33:T33"/>
    <mergeCell ref="U33:Z33"/>
    <mergeCell ref="B30:G30"/>
    <mergeCell ref="H30:M30"/>
    <mergeCell ref="O30:T30"/>
    <mergeCell ref="U30:Z30"/>
    <mergeCell ref="B31:G31"/>
    <mergeCell ref="H31:M31"/>
    <mergeCell ref="O31:T31"/>
    <mergeCell ref="U31:Z31"/>
    <mergeCell ref="B28:G28"/>
    <mergeCell ref="H28:M28"/>
    <mergeCell ref="O28:T28"/>
    <mergeCell ref="U28:Z28"/>
    <mergeCell ref="B29:G29"/>
    <mergeCell ref="H29:M29"/>
    <mergeCell ref="O29:T29"/>
    <mergeCell ref="U29:Z29"/>
    <mergeCell ref="B26:G26"/>
    <mergeCell ref="H26:M26"/>
    <mergeCell ref="O26:T26"/>
    <mergeCell ref="U26:Z26"/>
    <mergeCell ref="B27:G27"/>
    <mergeCell ref="H27:M27"/>
    <mergeCell ref="O27:T27"/>
    <mergeCell ref="U27:Z27"/>
    <mergeCell ref="B24:G24"/>
    <mergeCell ref="H24:M24"/>
    <mergeCell ref="O24:T24"/>
    <mergeCell ref="U24:Z24"/>
    <mergeCell ref="B25:G25"/>
    <mergeCell ref="H25:M25"/>
    <mergeCell ref="O25:T25"/>
    <mergeCell ref="U25:Z25"/>
    <mergeCell ref="O21:R21"/>
    <mergeCell ref="B22:G22"/>
    <mergeCell ref="H22:M22"/>
    <mergeCell ref="O22:T22"/>
    <mergeCell ref="U22:Z22"/>
    <mergeCell ref="B23:G23"/>
    <mergeCell ref="H23:M23"/>
    <mergeCell ref="O23:T23"/>
    <mergeCell ref="U23:Z23"/>
    <mergeCell ref="B18:F18"/>
    <mergeCell ref="G18:K18"/>
    <mergeCell ref="L18:P18"/>
    <mergeCell ref="Q18:U18"/>
    <mergeCell ref="V18:Z18"/>
    <mergeCell ref="B19:F19"/>
    <mergeCell ref="G19:K19"/>
    <mergeCell ref="L19:P19"/>
    <mergeCell ref="Q19:U19"/>
    <mergeCell ref="V19:Z19"/>
    <mergeCell ref="B16:F16"/>
    <mergeCell ref="G16:K16"/>
    <mergeCell ref="L16:P16"/>
    <mergeCell ref="Q16:U16"/>
    <mergeCell ref="V16:Z16"/>
    <mergeCell ref="B17:F17"/>
    <mergeCell ref="G17:K17"/>
    <mergeCell ref="L17:P17"/>
    <mergeCell ref="Q17:U17"/>
    <mergeCell ref="V17:Z17"/>
    <mergeCell ref="B11:G11"/>
    <mergeCell ref="H11:M11"/>
    <mergeCell ref="N11:S11"/>
    <mergeCell ref="T11:Z11"/>
    <mergeCell ref="B8:E8"/>
    <mergeCell ref="F8:I8"/>
    <mergeCell ref="J8:M8"/>
    <mergeCell ref="N8:Q8"/>
    <mergeCell ref="R8:U8"/>
    <mergeCell ref="V8:Z8"/>
    <mergeCell ref="B2:Z2"/>
    <mergeCell ref="B4:E4"/>
    <mergeCell ref="B5:E5"/>
    <mergeCell ref="F5:M5"/>
    <mergeCell ref="N5:Q5"/>
    <mergeCell ref="R5:Z5"/>
    <mergeCell ref="B10:G10"/>
    <mergeCell ref="H10:M10"/>
    <mergeCell ref="N10:S10"/>
    <mergeCell ref="T10:Z10"/>
    <mergeCell ref="B6:E6"/>
    <mergeCell ref="F6:M6"/>
    <mergeCell ref="N6:Q6"/>
    <mergeCell ref="R6:Z6"/>
    <mergeCell ref="B7:E7"/>
    <mergeCell ref="F7:M7"/>
    <mergeCell ref="N7:Q7"/>
    <mergeCell ref="R7:Z7"/>
    <mergeCell ref="B9:E9"/>
    <mergeCell ref="F9:I9"/>
    <mergeCell ref="J9:M9"/>
    <mergeCell ref="N9:Q9"/>
    <mergeCell ref="R9:U9"/>
    <mergeCell ref="V9:Z9"/>
  </mergeCells>
  <phoneticPr fontId="5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8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1">
    <pageSetUpPr autoPageBreaks="0" fitToPage="1"/>
  </sheetPr>
  <dimension ref="A1:AE95"/>
  <sheetViews>
    <sheetView showGridLines="0" showRowColHeaders="0" topLeftCell="A2" zoomScale="55" zoomScaleNormal="55" workbookViewId="0">
      <selection activeCell="AH13" sqref="AH13"/>
    </sheetView>
  </sheetViews>
  <sheetFormatPr defaultColWidth="9" defaultRowHeight="16.5"/>
  <cols>
    <col min="1" max="1" width="4.625" style="53" customWidth="1"/>
    <col min="2" max="26" width="3.625" style="53" customWidth="1"/>
    <col min="27" max="27" width="4.625" style="53" customWidth="1"/>
    <col min="28" max="16384" width="9" style="53"/>
  </cols>
  <sheetData>
    <row r="1" spans="1:31" s="49" customFormat="1" ht="15" customHeight="1">
      <c r="A1" s="23"/>
      <c r="B1" s="48"/>
      <c r="C1"/>
      <c r="D1"/>
      <c r="E1"/>
      <c r="F1"/>
      <c r="G1"/>
      <c r="H1"/>
      <c r="I1"/>
      <c r="J1"/>
      <c r="K1" s="48"/>
      <c r="L1"/>
      <c r="M1"/>
      <c r="N1"/>
      <c r="O1"/>
      <c r="P1"/>
      <c r="Q1"/>
      <c r="R1"/>
      <c r="S1"/>
      <c r="T1"/>
      <c r="U1"/>
      <c r="V1"/>
      <c r="W1"/>
      <c r="X1"/>
      <c r="Y1"/>
      <c r="Z1" s="24"/>
      <c r="AA1" s="23"/>
    </row>
    <row r="2" spans="1:31" s="50" customFormat="1" ht="30" customHeight="1">
      <c r="A2" s="25"/>
      <c r="B2" s="111">
        <v>46082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25"/>
    </row>
    <row r="3" spans="1:31" s="50" customFormat="1" ht="9.9499999999999993" customHeight="1">
      <c r="A3" s="37"/>
      <c r="B3" s="27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3"/>
      <c r="O3" s="23"/>
      <c r="P3" s="23"/>
      <c r="Q3" s="23"/>
      <c r="R3" s="23"/>
      <c r="S3" s="29"/>
      <c r="T3" s="29"/>
      <c r="U3" s="29"/>
      <c r="V3" s="29"/>
      <c r="W3" s="29"/>
      <c r="X3" s="29"/>
      <c r="Y3" s="29"/>
      <c r="Z3" s="29"/>
      <c r="AA3" s="25"/>
    </row>
    <row r="4" spans="1:31" s="50" customFormat="1" ht="24.95" customHeight="1">
      <c r="A4" s="37"/>
      <c r="B4" s="113" t="s">
        <v>26</v>
      </c>
      <c r="C4" s="114"/>
      <c r="D4" s="114"/>
      <c r="E4" s="114"/>
      <c r="F4" s="23"/>
      <c r="G4" s="23"/>
      <c r="H4" s="28"/>
      <c r="I4" s="28"/>
      <c r="J4" s="28"/>
      <c r="K4" s="28"/>
      <c r="L4" s="28"/>
      <c r="M4" s="28"/>
      <c r="N4" s="23"/>
      <c r="O4" s="23"/>
      <c r="P4" s="23"/>
      <c r="Q4" s="23"/>
      <c r="R4" s="23"/>
      <c r="S4" s="29"/>
      <c r="T4" s="29"/>
      <c r="U4" s="29"/>
      <c r="V4" s="29"/>
      <c r="W4" s="29"/>
      <c r="X4" s="29"/>
      <c r="Y4" s="29"/>
      <c r="Z4" s="29"/>
      <c r="AA4" s="25"/>
    </row>
    <row r="5" spans="1:31" s="50" customFormat="1" ht="24.95" customHeight="1">
      <c r="A5" s="37"/>
      <c r="B5" s="115" t="s">
        <v>27</v>
      </c>
      <c r="C5" s="116"/>
      <c r="D5" s="116"/>
      <c r="E5" s="116"/>
      <c r="F5" s="117">
        <v>46082</v>
      </c>
      <c r="G5" s="118"/>
      <c r="H5" s="118"/>
      <c r="I5" s="118"/>
      <c r="J5" s="118"/>
      <c r="K5" s="118"/>
      <c r="L5" s="118"/>
      <c r="M5" s="118"/>
      <c r="N5" s="115" t="s">
        <v>28</v>
      </c>
      <c r="O5" s="116"/>
      <c r="P5" s="116"/>
      <c r="Q5" s="116"/>
      <c r="R5" s="119">
        <v>46117</v>
      </c>
      <c r="S5" s="120"/>
      <c r="T5" s="120"/>
      <c r="U5" s="120"/>
      <c r="V5" s="120"/>
      <c r="W5" s="120"/>
      <c r="X5" s="120"/>
      <c r="Y5" s="120"/>
      <c r="Z5" s="120"/>
      <c r="AA5" s="25"/>
    </row>
    <row r="6" spans="1:31" s="50" customFormat="1" ht="24.95" customHeight="1">
      <c r="A6" s="37"/>
      <c r="B6" s="125" t="s">
        <v>29</v>
      </c>
      <c r="C6" s="126"/>
      <c r="D6" s="126"/>
      <c r="E6" s="126"/>
      <c r="F6" s="127" t="s">
        <v>30</v>
      </c>
      <c r="G6" s="127"/>
      <c r="H6" s="127"/>
      <c r="I6" s="127"/>
      <c r="J6" s="127"/>
      <c r="K6" s="127"/>
      <c r="L6" s="127"/>
      <c r="M6" s="127"/>
      <c r="N6" s="125" t="s">
        <v>31</v>
      </c>
      <c r="O6" s="126"/>
      <c r="P6" s="126"/>
      <c r="Q6" s="126"/>
      <c r="R6" s="128"/>
      <c r="S6" s="128"/>
      <c r="T6" s="128"/>
      <c r="U6" s="128"/>
      <c r="V6" s="128"/>
      <c r="W6" s="128"/>
      <c r="X6" s="128"/>
      <c r="Y6" s="128"/>
      <c r="Z6" s="128"/>
      <c r="AA6" s="25"/>
    </row>
    <row r="7" spans="1:31" s="50" customFormat="1" ht="24.95" customHeight="1">
      <c r="A7" s="37"/>
      <c r="B7" s="129" t="s">
        <v>32</v>
      </c>
      <c r="C7" s="130"/>
      <c r="D7" s="130"/>
      <c r="E7" s="130"/>
      <c r="F7" s="131" t="s">
        <v>33</v>
      </c>
      <c r="G7" s="131"/>
      <c r="H7" s="131"/>
      <c r="I7" s="131"/>
      <c r="J7" s="131"/>
      <c r="K7" s="131"/>
      <c r="L7" s="131"/>
      <c r="M7" s="131"/>
      <c r="N7" s="129" t="s">
        <v>17</v>
      </c>
      <c r="O7" s="130"/>
      <c r="P7" s="130"/>
      <c r="Q7" s="130"/>
      <c r="R7" s="131"/>
      <c r="S7" s="131"/>
      <c r="T7" s="131"/>
      <c r="U7" s="131"/>
      <c r="V7" s="131"/>
      <c r="W7" s="131"/>
      <c r="X7" s="131"/>
      <c r="Y7" s="131"/>
      <c r="Z7" s="131"/>
      <c r="AA7" s="25"/>
    </row>
    <row r="8" spans="1:31" s="50" customFormat="1" ht="23.1" customHeight="1">
      <c r="A8" s="37"/>
      <c r="B8" s="125"/>
      <c r="C8" s="126"/>
      <c r="D8" s="126"/>
      <c r="E8" s="126"/>
      <c r="F8" s="175"/>
      <c r="G8" s="176"/>
      <c r="H8" s="176"/>
      <c r="I8" s="176"/>
      <c r="J8" s="176"/>
      <c r="K8" s="176"/>
      <c r="L8" s="176"/>
      <c r="M8" s="176"/>
      <c r="N8" s="125"/>
      <c r="O8" s="126"/>
      <c r="P8" s="126"/>
      <c r="Q8" s="126"/>
      <c r="R8" s="175"/>
      <c r="S8" s="176"/>
      <c r="T8" s="176"/>
      <c r="U8" s="176"/>
      <c r="V8" s="176"/>
      <c r="W8" s="176"/>
      <c r="X8" s="176"/>
      <c r="Y8" s="176"/>
      <c r="Z8" s="176"/>
      <c r="AA8" s="25"/>
    </row>
    <row r="9" spans="1:31" s="50" customFormat="1" ht="9.9499999999999993" customHeight="1">
      <c r="A9" s="37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</row>
    <row r="10" spans="1:31" s="50" customFormat="1" ht="24.95" hidden="1" customHeight="1">
      <c r="A10" s="37"/>
      <c r="B10" s="121" t="s">
        <v>35</v>
      </c>
      <c r="C10" s="122"/>
      <c r="D10" s="122"/>
      <c r="E10" s="122"/>
      <c r="F10" s="122"/>
      <c r="G10" s="122"/>
      <c r="H10" s="122" t="s">
        <v>36</v>
      </c>
      <c r="I10" s="122"/>
      <c r="J10" s="122"/>
      <c r="K10" s="122"/>
      <c r="L10" s="122"/>
      <c r="M10" s="122"/>
      <c r="N10" s="123" t="s">
        <v>37</v>
      </c>
      <c r="O10" s="122"/>
      <c r="P10" s="122"/>
      <c r="Q10" s="122"/>
      <c r="R10" s="122"/>
      <c r="S10" s="122"/>
      <c r="T10" s="122" t="s">
        <v>38</v>
      </c>
      <c r="U10" s="122"/>
      <c r="V10" s="122"/>
      <c r="W10" s="122"/>
      <c r="X10" s="122"/>
      <c r="Y10" s="122"/>
      <c r="Z10" s="124"/>
      <c r="AA10" s="25"/>
    </row>
    <row r="11" spans="1:31" s="50" customFormat="1" ht="24.95" hidden="1" customHeight="1">
      <c r="A11" s="37"/>
      <c r="B11" s="136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8"/>
      <c r="U11" s="138"/>
      <c r="V11" s="138"/>
      <c r="W11" s="138"/>
      <c r="X11" s="138"/>
      <c r="Y11" s="138"/>
      <c r="Z11" s="139"/>
      <c r="AA11" s="25"/>
    </row>
    <row r="12" spans="1:31" s="50" customFormat="1" ht="9.9499999999999993" hidden="1" customHeight="1">
      <c r="A12" s="37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1"/>
      <c r="U12" s="31"/>
      <c r="V12" s="31"/>
      <c r="W12" s="31"/>
      <c r="X12" s="31"/>
      <c r="Y12" s="31"/>
      <c r="Z12" s="31"/>
      <c r="AA12" s="25"/>
    </row>
    <row r="13" spans="1:31" s="50" customFormat="1" ht="24.95" customHeight="1">
      <c r="A13" s="37"/>
      <c r="B13" s="140" t="s">
        <v>39</v>
      </c>
      <c r="C13" s="141"/>
      <c r="D13" s="141"/>
      <c r="E13" s="141"/>
      <c r="F13" s="140" t="s">
        <v>40</v>
      </c>
      <c r="G13" s="141"/>
      <c r="H13" s="141"/>
      <c r="I13" s="141"/>
      <c r="J13" s="140" t="s">
        <v>35</v>
      </c>
      <c r="K13" s="141"/>
      <c r="L13" s="141"/>
      <c r="M13" s="141"/>
      <c r="N13" s="140" t="s">
        <v>36</v>
      </c>
      <c r="O13" s="141"/>
      <c r="P13" s="141"/>
      <c r="Q13" s="141"/>
      <c r="R13" s="140" t="s">
        <v>37</v>
      </c>
      <c r="S13" s="141"/>
      <c r="T13" s="141"/>
      <c r="U13" s="141"/>
      <c r="V13" s="140" t="s">
        <v>38</v>
      </c>
      <c r="W13" s="141"/>
      <c r="X13" s="141"/>
      <c r="Y13" s="141"/>
      <c r="Z13" s="141"/>
      <c r="AA13" s="25"/>
      <c r="AE13" s="51"/>
    </row>
    <row r="14" spans="1:31" s="50" customFormat="1" ht="24.95" customHeight="1">
      <c r="A14" s="37"/>
      <c r="B14" s="132"/>
      <c r="C14" s="133"/>
      <c r="D14" s="133"/>
      <c r="E14" s="133"/>
      <c r="F14" s="132">
        <v>176</v>
      </c>
      <c r="G14" s="133"/>
      <c r="H14" s="133"/>
      <c r="I14" s="133"/>
      <c r="J14" s="132"/>
      <c r="K14" s="133"/>
      <c r="L14" s="133"/>
      <c r="M14" s="133"/>
      <c r="N14" s="132"/>
      <c r="O14" s="133"/>
      <c r="P14" s="133"/>
      <c r="Q14" s="133"/>
      <c r="R14" s="132"/>
      <c r="S14" s="133"/>
      <c r="T14" s="133"/>
      <c r="U14" s="133"/>
      <c r="V14" s="134">
        <v>10320</v>
      </c>
      <c r="W14" s="135"/>
      <c r="X14" s="135"/>
      <c r="Y14" s="135"/>
      <c r="Z14" s="135"/>
      <c r="AA14" s="25"/>
    </row>
    <row r="15" spans="1:31" s="50" customFormat="1" ht="9.9499999999999993" hidden="1" customHeight="1">
      <c r="A15" s="37"/>
      <c r="B15" s="30"/>
      <c r="C15" s="32"/>
      <c r="D15" s="32"/>
      <c r="E15" s="32"/>
      <c r="F15" s="32"/>
      <c r="G15" s="30"/>
      <c r="H15" s="32"/>
      <c r="I15" s="32"/>
      <c r="J15" s="32"/>
      <c r="K15" s="32"/>
      <c r="L15" s="30"/>
      <c r="M15" s="32"/>
      <c r="N15" s="32"/>
      <c r="O15" s="32"/>
      <c r="P15" s="32"/>
      <c r="Q15" s="30"/>
      <c r="R15" s="32"/>
      <c r="S15" s="32"/>
      <c r="T15" s="32"/>
      <c r="U15" s="32"/>
      <c r="V15" s="30"/>
      <c r="W15" s="32"/>
      <c r="X15" s="32"/>
      <c r="Y15" s="32"/>
      <c r="Z15" s="32"/>
      <c r="AA15" s="25"/>
    </row>
    <row r="16" spans="1:31" s="50" customFormat="1" ht="24.95" hidden="1" customHeight="1">
      <c r="A16" s="37"/>
      <c r="B16" s="142" t="s">
        <v>41</v>
      </c>
      <c r="C16" s="143"/>
      <c r="D16" s="143"/>
      <c r="E16" s="143"/>
      <c r="F16" s="143"/>
      <c r="G16" s="144" t="s">
        <v>42</v>
      </c>
      <c r="H16" s="143"/>
      <c r="I16" s="143"/>
      <c r="J16" s="143"/>
      <c r="K16" s="143"/>
      <c r="L16" s="144" t="s">
        <v>43</v>
      </c>
      <c r="M16" s="143"/>
      <c r="N16" s="143"/>
      <c r="O16" s="143"/>
      <c r="P16" s="143"/>
      <c r="Q16" s="144" t="s">
        <v>44</v>
      </c>
      <c r="R16" s="143"/>
      <c r="S16" s="143"/>
      <c r="T16" s="143"/>
      <c r="U16" s="143"/>
      <c r="V16" s="144" t="s">
        <v>45</v>
      </c>
      <c r="W16" s="143"/>
      <c r="X16" s="143"/>
      <c r="Y16" s="143"/>
      <c r="Z16" s="143"/>
      <c r="AA16" s="25"/>
    </row>
    <row r="17" spans="1:30" s="50" customFormat="1" ht="24.95" hidden="1" customHeight="1">
      <c r="A17" s="37"/>
      <c r="B17" s="132"/>
      <c r="C17" s="145"/>
      <c r="D17" s="145"/>
      <c r="E17" s="145"/>
      <c r="F17" s="145"/>
      <c r="G17" s="132"/>
      <c r="H17" s="145"/>
      <c r="I17" s="145"/>
      <c r="J17" s="145"/>
      <c r="K17" s="145"/>
      <c r="L17" s="132"/>
      <c r="M17" s="145"/>
      <c r="N17" s="145"/>
      <c r="O17" s="145"/>
      <c r="P17" s="145"/>
      <c r="Q17" s="132"/>
      <c r="R17" s="145"/>
      <c r="S17" s="145"/>
      <c r="T17" s="145"/>
      <c r="U17" s="145"/>
      <c r="V17" s="132"/>
      <c r="W17" s="145"/>
      <c r="X17" s="145"/>
      <c r="Y17" s="145"/>
      <c r="Z17" s="145"/>
      <c r="AA17" s="25"/>
    </row>
    <row r="18" spans="1:30" s="50" customFormat="1" ht="24.95" hidden="1" customHeight="1">
      <c r="A18" s="37"/>
      <c r="B18" s="144" t="s">
        <v>46</v>
      </c>
      <c r="C18" s="146"/>
      <c r="D18" s="146"/>
      <c r="E18" s="146"/>
      <c r="F18" s="146"/>
      <c r="G18" s="144" t="s">
        <v>47</v>
      </c>
      <c r="H18" s="146"/>
      <c r="I18" s="146"/>
      <c r="J18" s="146"/>
      <c r="K18" s="146"/>
      <c r="L18" s="144" t="s">
        <v>48</v>
      </c>
      <c r="M18" s="146"/>
      <c r="N18" s="146"/>
      <c r="O18" s="146"/>
      <c r="P18" s="146"/>
      <c r="Q18" s="144" t="s">
        <v>49</v>
      </c>
      <c r="R18" s="146"/>
      <c r="S18" s="146"/>
      <c r="T18" s="146"/>
      <c r="U18" s="146"/>
      <c r="V18" s="144" t="s">
        <v>50</v>
      </c>
      <c r="W18" s="146"/>
      <c r="X18" s="146"/>
      <c r="Y18" s="146"/>
      <c r="Z18" s="146"/>
      <c r="AA18" s="25"/>
    </row>
    <row r="19" spans="1:30" s="50" customFormat="1" ht="24.95" hidden="1" customHeight="1">
      <c r="A19" s="37"/>
      <c r="B19" s="132"/>
      <c r="C19" s="145"/>
      <c r="D19" s="145"/>
      <c r="E19" s="145"/>
      <c r="F19" s="145"/>
      <c r="G19" s="132"/>
      <c r="H19" s="145"/>
      <c r="I19" s="145"/>
      <c r="J19" s="145"/>
      <c r="K19" s="145"/>
      <c r="L19" s="132"/>
      <c r="M19" s="145"/>
      <c r="N19" s="145"/>
      <c r="O19" s="145"/>
      <c r="P19" s="145"/>
      <c r="Q19" s="132"/>
      <c r="R19" s="145"/>
      <c r="S19" s="145"/>
      <c r="T19" s="145"/>
      <c r="U19" s="145"/>
      <c r="V19" s="132"/>
      <c r="W19" s="145"/>
      <c r="X19" s="145"/>
      <c r="Y19" s="145"/>
      <c r="Z19" s="145"/>
      <c r="AA19" s="25"/>
    </row>
    <row r="20" spans="1:30" s="50" customFormat="1" ht="9.9499999999999993" customHeight="1">
      <c r="A20" s="37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25"/>
      <c r="AD20" s="51"/>
    </row>
    <row r="21" spans="1:30" s="50" customFormat="1" ht="24.95" customHeight="1">
      <c r="A21" s="37"/>
      <c r="B21" s="34" t="s">
        <v>51</v>
      </c>
      <c r="C21" s="37"/>
      <c r="D21" s="37"/>
      <c r="E21" s="37"/>
      <c r="F21" s="35"/>
      <c r="G21" s="36"/>
      <c r="H21" s="36"/>
      <c r="I21" s="36"/>
      <c r="J21" s="36"/>
      <c r="K21" s="36"/>
      <c r="L21" s="36"/>
      <c r="M21" s="36"/>
      <c r="N21" s="36"/>
      <c r="O21" s="113" t="s">
        <v>52</v>
      </c>
      <c r="P21" s="149"/>
      <c r="Q21" s="149"/>
      <c r="R21" s="149"/>
      <c r="S21" s="36"/>
      <c r="T21" s="36"/>
      <c r="U21" s="36"/>
      <c r="V21" s="38"/>
      <c r="W21" s="39"/>
      <c r="X21" s="39"/>
      <c r="Y21" s="39"/>
      <c r="Z21" s="39"/>
      <c r="AA21" s="25"/>
      <c r="AD21" s="51"/>
    </row>
    <row r="22" spans="1:30" s="50" customFormat="1" ht="24.95" customHeight="1">
      <c r="A22" s="25"/>
      <c r="B22" s="150" t="s">
        <v>53</v>
      </c>
      <c r="C22" s="150"/>
      <c r="D22" s="150"/>
      <c r="E22" s="150"/>
      <c r="F22" s="150"/>
      <c r="G22" s="150"/>
      <c r="H22" s="151" t="s">
        <v>54</v>
      </c>
      <c r="I22" s="151"/>
      <c r="J22" s="151"/>
      <c r="K22" s="151"/>
      <c r="L22" s="151"/>
      <c r="M22" s="151"/>
      <c r="N22" s="40"/>
      <c r="O22" s="150" t="s">
        <v>55</v>
      </c>
      <c r="P22" s="150"/>
      <c r="Q22" s="150"/>
      <c r="R22" s="150"/>
      <c r="S22" s="150"/>
      <c r="T22" s="150"/>
      <c r="U22" s="151" t="s">
        <v>56</v>
      </c>
      <c r="V22" s="151"/>
      <c r="W22" s="151"/>
      <c r="X22" s="151"/>
      <c r="Y22" s="151"/>
      <c r="Z22" s="151"/>
      <c r="AA22" s="25"/>
    </row>
    <row r="23" spans="1:30" s="50" customFormat="1" ht="23.1" customHeight="1">
      <c r="A23" s="37"/>
      <c r="B23" s="152"/>
      <c r="C23" s="152"/>
      <c r="D23" s="152"/>
      <c r="E23" s="152"/>
      <c r="F23" s="152"/>
      <c r="G23" s="152"/>
      <c r="H23" s="148"/>
      <c r="I23" s="148"/>
      <c r="J23" s="148"/>
      <c r="K23" s="148"/>
      <c r="L23" s="148"/>
      <c r="M23" s="148"/>
      <c r="N23" s="41"/>
      <c r="O23" s="152"/>
      <c r="P23" s="152"/>
      <c r="Q23" s="152"/>
      <c r="R23" s="152"/>
      <c r="S23" s="152"/>
      <c r="T23" s="152"/>
      <c r="U23" s="153"/>
      <c r="V23" s="153"/>
      <c r="W23" s="153"/>
      <c r="X23" s="153"/>
      <c r="Y23" s="153"/>
      <c r="Z23" s="153"/>
      <c r="AA23" s="25"/>
    </row>
    <row r="24" spans="1:30" s="50" customFormat="1" ht="23.1" customHeight="1">
      <c r="A24" s="37"/>
      <c r="B24" s="147"/>
      <c r="C24" s="147"/>
      <c r="D24" s="147"/>
      <c r="E24" s="147"/>
      <c r="F24" s="147"/>
      <c r="G24" s="147"/>
      <c r="H24" s="148"/>
      <c r="I24" s="148"/>
      <c r="J24" s="148"/>
      <c r="K24" s="148"/>
      <c r="L24" s="148"/>
      <c r="M24" s="148"/>
      <c r="N24" s="41"/>
      <c r="O24" s="147"/>
      <c r="P24" s="147"/>
      <c r="Q24" s="147"/>
      <c r="R24" s="147"/>
      <c r="S24" s="147"/>
      <c r="T24" s="147"/>
      <c r="U24" s="148"/>
      <c r="V24" s="148"/>
      <c r="W24" s="148"/>
      <c r="X24" s="148"/>
      <c r="Y24" s="148"/>
      <c r="Z24" s="148"/>
      <c r="AA24" s="25"/>
    </row>
    <row r="25" spans="1:30" s="50" customFormat="1" ht="23.1" customHeight="1">
      <c r="A25" s="37"/>
      <c r="B25" s="147"/>
      <c r="C25" s="147"/>
      <c r="D25" s="147"/>
      <c r="E25" s="147"/>
      <c r="F25" s="147"/>
      <c r="G25" s="147"/>
      <c r="H25" s="148"/>
      <c r="I25" s="148"/>
      <c r="J25" s="148"/>
      <c r="K25" s="148"/>
      <c r="L25" s="148"/>
      <c r="M25" s="148"/>
      <c r="N25" s="41"/>
      <c r="O25" s="147"/>
      <c r="P25" s="147"/>
      <c r="Q25" s="147"/>
      <c r="R25" s="147"/>
      <c r="S25" s="147"/>
      <c r="T25" s="147"/>
      <c r="U25" s="148"/>
      <c r="V25" s="148"/>
      <c r="W25" s="148"/>
      <c r="X25" s="148"/>
      <c r="Y25" s="148"/>
      <c r="Z25" s="148"/>
      <c r="AA25" s="25"/>
    </row>
    <row r="26" spans="1:30" s="50" customFormat="1" ht="23.1" customHeight="1">
      <c r="A26" s="37"/>
      <c r="B26" s="147"/>
      <c r="C26" s="147"/>
      <c r="D26" s="147"/>
      <c r="E26" s="147"/>
      <c r="F26" s="147"/>
      <c r="G26" s="147"/>
      <c r="H26" s="148"/>
      <c r="I26" s="148"/>
      <c r="J26" s="148"/>
      <c r="K26" s="148"/>
      <c r="L26" s="148"/>
      <c r="M26" s="148"/>
      <c r="N26" s="41"/>
      <c r="O26" s="147"/>
      <c r="P26" s="147"/>
      <c r="Q26" s="147"/>
      <c r="R26" s="147"/>
      <c r="S26" s="147"/>
      <c r="T26" s="147"/>
      <c r="U26" s="148"/>
      <c r="V26" s="148"/>
      <c r="W26" s="148"/>
      <c r="X26" s="148"/>
      <c r="Y26" s="148"/>
      <c r="Z26" s="148"/>
      <c r="AA26" s="25"/>
    </row>
    <row r="27" spans="1:30" s="50" customFormat="1" ht="23.1" customHeight="1">
      <c r="A27" s="37"/>
      <c r="B27" s="147"/>
      <c r="C27" s="147"/>
      <c r="D27" s="147"/>
      <c r="E27" s="147"/>
      <c r="F27" s="147"/>
      <c r="G27" s="147"/>
      <c r="H27" s="148"/>
      <c r="I27" s="148"/>
      <c r="J27" s="148"/>
      <c r="K27" s="148"/>
      <c r="L27" s="148"/>
      <c r="M27" s="148"/>
      <c r="N27" s="41"/>
      <c r="O27" s="147"/>
      <c r="P27" s="147"/>
      <c r="Q27" s="147"/>
      <c r="R27" s="147"/>
      <c r="S27" s="147"/>
      <c r="T27" s="147"/>
      <c r="U27" s="148"/>
      <c r="V27" s="148"/>
      <c r="W27" s="148"/>
      <c r="X27" s="148"/>
      <c r="Y27" s="148"/>
      <c r="Z27" s="148"/>
      <c r="AA27" s="25"/>
    </row>
    <row r="28" spans="1:30" s="50" customFormat="1" ht="23.1" customHeight="1">
      <c r="A28" s="37"/>
      <c r="B28" s="147"/>
      <c r="C28" s="147"/>
      <c r="D28" s="147"/>
      <c r="E28" s="147"/>
      <c r="F28" s="147"/>
      <c r="G28" s="147"/>
      <c r="H28" s="148"/>
      <c r="I28" s="148"/>
      <c r="J28" s="148"/>
      <c r="K28" s="148"/>
      <c r="L28" s="148"/>
      <c r="M28" s="148"/>
      <c r="N28" s="41"/>
      <c r="O28" s="147"/>
      <c r="P28" s="147"/>
      <c r="Q28" s="147"/>
      <c r="R28" s="147"/>
      <c r="S28" s="147"/>
      <c r="T28" s="147"/>
      <c r="U28" s="148"/>
      <c r="V28" s="148"/>
      <c r="W28" s="148"/>
      <c r="X28" s="148"/>
      <c r="Y28" s="148"/>
      <c r="Z28" s="148"/>
      <c r="AA28" s="25"/>
    </row>
    <row r="29" spans="1:30" s="50" customFormat="1" ht="23.1" customHeight="1">
      <c r="A29" s="37"/>
      <c r="B29" s="147"/>
      <c r="C29" s="147"/>
      <c r="D29" s="147"/>
      <c r="E29" s="147"/>
      <c r="F29" s="147"/>
      <c r="G29" s="147"/>
      <c r="H29" s="148"/>
      <c r="I29" s="148"/>
      <c r="J29" s="148"/>
      <c r="K29" s="148"/>
      <c r="L29" s="148"/>
      <c r="M29" s="148"/>
      <c r="N29" s="41"/>
      <c r="O29" s="147"/>
      <c r="P29" s="147"/>
      <c r="Q29" s="147"/>
      <c r="R29" s="147"/>
      <c r="S29" s="147"/>
      <c r="T29" s="147"/>
      <c r="U29" s="148"/>
      <c r="V29" s="148"/>
      <c r="W29" s="148"/>
      <c r="X29" s="148"/>
      <c r="Y29" s="148"/>
      <c r="Z29" s="148"/>
      <c r="AA29" s="25"/>
    </row>
    <row r="30" spans="1:30" s="50" customFormat="1" ht="23.1" customHeight="1">
      <c r="A30" s="37"/>
      <c r="B30" s="147"/>
      <c r="C30" s="147"/>
      <c r="D30" s="147"/>
      <c r="E30" s="147"/>
      <c r="F30" s="147"/>
      <c r="G30" s="147"/>
      <c r="H30" s="148"/>
      <c r="I30" s="148"/>
      <c r="J30" s="148"/>
      <c r="K30" s="148"/>
      <c r="L30" s="148"/>
      <c r="M30" s="148"/>
      <c r="N30" s="41"/>
      <c r="O30" s="147"/>
      <c r="P30" s="147"/>
      <c r="Q30" s="147"/>
      <c r="R30" s="147"/>
      <c r="S30" s="147"/>
      <c r="T30" s="147"/>
      <c r="U30" s="148"/>
      <c r="V30" s="148"/>
      <c r="W30" s="148"/>
      <c r="X30" s="148"/>
      <c r="Y30" s="148"/>
      <c r="Z30" s="148"/>
      <c r="AA30" s="25"/>
    </row>
    <row r="31" spans="1:30" s="50" customFormat="1" ht="23.1" customHeight="1">
      <c r="A31" s="37"/>
      <c r="B31" s="147"/>
      <c r="C31" s="147"/>
      <c r="D31" s="147"/>
      <c r="E31" s="147"/>
      <c r="F31" s="147"/>
      <c r="G31" s="147"/>
      <c r="H31" s="148"/>
      <c r="I31" s="148"/>
      <c r="J31" s="148"/>
      <c r="K31" s="148"/>
      <c r="L31" s="148"/>
      <c r="M31" s="148"/>
      <c r="N31" s="41"/>
      <c r="O31" s="147"/>
      <c r="P31" s="147"/>
      <c r="Q31" s="147"/>
      <c r="R31" s="147"/>
      <c r="S31" s="147"/>
      <c r="T31" s="147"/>
      <c r="U31" s="148"/>
      <c r="V31" s="148"/>
      <c r="W31" s="148"/>
      <c r="X31" s="148"/>
      <c r="Y31" s="148"/>
      <c r="Z31" s="148"/>
      <c r="AA31" s="25"/>
    </row>
    <row r="32" spans="1:30" s="50" customFormat="1" ht="23.1" customHeight="1">
      <c r="A32" s="37"/>
      <c r="B32" s="147"/>
      <c r="C32" s="147"/>
      <c r="D32" s="147"/>
      <c r="E32" s="147"/>
      <c r="F32" s="147"/>
      <c r="G32" s="147"/>
      <c r="H32" s="148"/>
      <c r="I32" s="148"/>
      <c r="J32" s="148"/>
      <c r="K32" s="148"/>
      <c r="L32" s="148"/>
      <c r="M32" s="148"/>
      <c r="N32" s="41"/>
      <c r="O32" s="147"/>
      <c r="P32" s="147"/>
      <c r="Q32" s="147"/>
      <c r="R32" s="147"/>
      <c r="S32" s="147"/>
      <c r="T32" s="147"/>
      <c r="U32" s="148"/>
      <c r="V32" s="148"/>
      <c r="W32" s="148"/>
      <c r="X32" s="148"/>
      <c r="Y32" s="148"/>
      <c r="Z32" s="148"/>
      <c r="AA32" s="25"/>
    </row>
    <row r="33" spans="1:27" s="50" customFormat="1" ht="23.1" customHeight="1">
      <c r="A33" s="37"/>
      <c r="B33" s="147"/>
      <c r="C33" s="147"/>
      <c r="D33" s="147"/>
      <c r="E33" s="147"/>
      <c r="F33" s="147"/>
      <c r="G33" s="147"/>
      <c r="H33" s="148"/>
      <c r="I33" s="148"/>
      <c r="J33" s="148"/>
      <c r="K33" s="148"/>
      <c r="L33" s="148"/>
      <c r="M33" s="148"/>
      <c r="N33" s="41"/>
      <c r="O33" s="147"/>
      <c r="P33" s="147"/>
      <c r="Q33" s="147"/>
      <c r="R33" s="147"/>
      <c r="S33" s="147"/>
      <c r="T33" s="147"/>
      <c r="U33" s="148"/>
      <c r="V33" s="148"/>
      <c r="W33" s="148"/>
      <c r="X33" s="148"/>
      <c r="Y33" s="148"/>
      <c r="Z33" s="148"/>
      <c r="AA33" s="25"/>
    </row>
    <row r="34" spans="1:27" s="50" customFormat="1" ht="23.1" hidden="1" customHeight="1">
      <c r="A34" s="37"/>
      <c r="B34" s="147"/>
      <c r="C34" s="147"/>
      <c r="D34" s="147"/>
      <c r="E34" s="147"/>
      <c r="F34" s="147"/>
      <c r="G34" s="147"/>
      <c r="H34" s="148"/>
      <c r="I34" s="148"/>
      <c r="J34" s="148"/>
      <c r="K34" s="148"/>
      <c r="L34" s="148"/>
      <c r="M34" s="148"/>
      <c r="N34" s="41"/>
      <c r="O34" s="147"/>
      <c r="P34" s="147"/>
      <c r="Q34" s="147"/>
      <c r="R34" s="147"/>
      <c r="S34" s="147"/>
      <c r="T34" s="147"/>
      <c r="U34" s="148"/>
      <c r="V34" s="148"/>
      <c r="W34" s="148"/>
      <c r="X34" s="148"/>
      <c r="Y34" s="148"/>
      <c r="Z34" s="148"/>
      <c r="AA34" s="25"/>
    </row>
    <row r="35" spans="1:27" s="50" customFormat="1" ht="23.1" hidden="1" customHeight="1">
      <c r="A35" s="37"/>
      <c r="B35" s="147"/>
      <c r="C35" s="147"/>
      <c r="D35" s="147"/>
      <c r="E35" s="147"/>
      <c r="F35" s="147"/>
      <c r="G35" s="147"/>
      <c r="H35" s="148"/>
      <c r="I35" s="148"/>
      <c r="J35" s="148"/>
      <c r="K35" s="148"/>
      <c r="L35" s="148"/>
      <c r="M35" s="148"/>
      <c r="N35" s="41"/>
      <c r="O35" s="147"/>
      <c r="P35" s="147"/>
      <c r="Q35" s="147"/>
      <c r="R35" s="147"/>
      <c r="S35" s="147"/>
      <c r="T35" s="147"/>
      <c r="U35" s="148"/>
      <c r="V35" s="148"/>
      <c r="W35" s="148"/>
      <c r="X35" s="148"/>
      <c r="Y35" s="148"/>
      <c r="Z35" s="148"/>
      <c r="AA35" s="25"/>
    </row>
    <row r="36" spans="1:27" s="50" customFormat="1" ht="23.1" hidden="1" customHeight="1">
      <c r="A36" s="37"/>
      <c r="B36" s="147"/>
      <c r="C36" s="147"/>
      <c r="D36" s="147"/>
      <c r="E36" s="147"/>
      <c r="F36" s="147"/>
      <c r="G36" s="147"/>
      <c r="H36" s="148"/>
      <c r="I36" s="148"/>
      <c r="J36" s="148"/>
      <c r="K36" s="148"/>
      <c r="L36" s="148"/>
      <c r="M36" s="148"/>
      <c r="N36" s="41"/>
      <c r="O36" s="147"/>
      <c r="P36" s="147"/>
      <c r="Q36" s="147"/>
      <c r="R36" s="147"/>
      <c r="S36" s="147"/>
      <c r="T36" s="147"/>
      <c r="U36" s="148"/>
      <c r="V36" s="148"/>
      <c r="W36" s="148"/>
      <c r="X36" s="148"/>
      <c r="Y36" s="148"/>
      <c r="Z36" s="148"/>
      <c r="AA36" s="25"/>
    </row>
    <row r="37" spans="1:27" s="50" customFormat="1" ht="23.1" hidden="1" customHeight="1">
      <c r="A37" s="37"/>
      <c r="B37" s="147"/>
      <c r="C37" s="147"/>
      <c r="D37" s="147"/>
      <c r="E37" s="147"/>
      <c r="F37" s="147"/>
      <c r="G37" s="147"/>
      <c r="H37" s="148"/>
      <c r="I37" s="148"/>
      <c r="J37" s="148"/>
      <c r="K37" s="148"/>
      <c r="L37" s="148"/>
      <c r="M37" s="148"/>
      <c r="N37" s="41"/>
      <c r="O37" s="147"/>
      <c r="P37" s="147"/>
      <c r="Q37" s="147"/>
      <c r="R37" s="147"/>
      <c r="S37" s="147"/>
      <c r="T37" s="147"/>
      <c r="U37" s="148"/>
      <c r="V37" s="148"/>
      <c r="W37" s="148"/>
      <c r="X37" s="148"/>
      <c r="Y37" s="148"/>
      <c r="Z37" s="148"/>
      <c r="AA37" s="25"/>
    </row>
    <row r="38" spans="1:27" s="50" customFormat="1" ht="23.1" hidden="1" customHeight="1">
      <c r="A38" s="37"/>
      <c r="B38" s="147"/>
      <c r="C38" s="147"/>
      <c r="D38" s="147"/>
      <c r="E38" s="147"/>
      <c r="F38" s="147"/>
      <c r="G38" s="147"/>
      <c r="H38" s="148"/>
      <c r="I38" s="148"/>
      <c r="J38" s="148"/>
      <c r="K38" s="148"/>
      <c r="L38" s="148"/>
      <c r="M38" s="148"/>
      <c r="N38" s="41"/>
      <c r="O38" s="147"/>
      <c r="P38" s="147"/>
      <c r="Q38" s="147"/>
      <c r="R38" s="147"/>
      <c r="S38" s="147"/>
      <c r="T38" s="147"/>
      <c r="U38" s="148"/>
      <c r="V38" s="148"/>
      <c r="W38" s="148"/>
      <c r="X38" s="148"/>
      <c r="Y38" s="148"/>
      <c r="Z38" s="148"/>
      <c r="AA38" s="25"/>
    </row>
    <row r="39" spans="1:27" s="50" customFormat="1" ht="23.1" hidden="1" customHeight="1">
      <c r="A39" s="37"/>
      <c r="B39" s="147"/>
      <c r="C39" s="147"/>
      <c r="D39" s="147"/>
      <c r="E39" s="147"/>
      <c r="F39" s="147"/>
      <c r="G39" s="147"/>
      <c r="H39" s="148"/>
      <c r="I39" s="148"/>
      <c r="J39" s="148"/>
      <c r="K39" s="148"/>
      <c r="L39" s="148"/>
      <c r="M39" s="148"/>
      <c r="N39" s="41"/>
      <c r="O39" s="147"/>
      <c r="P39" s="147"/>
      <c r="Q39" s="147"/>
      <c r="R39" s="147"/>
      <c r="S39" s="147"/>
      <c r="T39" s="147"/>
      <c r="U39" s="148"/>
      <c r="V39" s="148"/>
      <c r="W39" s="148"/>
      <c r="X39" s="148"/>
      <c r="Y39" s="148"/>
      <c r="Z39" s="148"/>
      <c r="AA39" s="25"/>
    </row>
    <row r="40" spans="1:27" s="50" customFormat="1" ht="23.1" hidden="1" customHeight="1">
      <c r="A40" s="37"/>
      <c r="B40" s="147"/>
      <c r="C40" s="147"/>
      <c r="D40" s="147"/>
      <c r="E40" s="147"/>
      <c r="F40" s="147"/>
      <c r="G40" s="147"/>
      <c r="H40" s="148"/>
      <c r="I40" s="148"/>
      <c r="J40" s="148"/>
      <c r="K40" s="148"/>
      <c r="L40" s="148"/>
      <c r="M40" s="148"/>
      <c r="N40" s="41"/>
      <c r="O40" s="147"/>
      <c r="P40" s="147"/>
      <c r="Q40" s="147"/>
      <c r="R40" s="147"/>
      <c r="S40" s="147"/>
      <c r="T40" s="147"/>
      <c r="U40" s="148"/>
      <c r="V40" s="148"/>
      <c r="W40" s="148"/>
      <c r="X40" s="148"/>
      <c r="Y40" s="148"/>
      <c r="Z40" s="148"/>
      <c r="AA40" s="25"/>
    </row>
    <row r="41" spans="1:27" s="50" customFormat="1" ht="23.1" hidden="1" customHeight="1">
      <c r="A41" s="37"/>
      <c r="B41" s="147"/>
      <c r="C41" s="147"/>
      <c r="D41" s="147"/>
      <c r="E41" s="147"/>
      <c r="F41" s="147"/>
      <c r="G41" s="147"/>
      <c r="H41" s="148"/>
      <c r="I41" s="148"/>
      <c r="J41" s="148"/>
      <c r="K41" s="148"/>
      <c r="L41" s="148"/>
      <c r="M41" s="148"/>
      <c r="N41" s="41"/>
      <c r="O41" s="147"/>
      <c r="P41" s="147"/>
      <c r="Q41" s="147"/>
      <c r="R41" s="147"/>
      <c r="S41" s="147"/>
      <c r="T41" s="147"/>
      <c r="U41" s="148"/>
      <c r="V41" s="148"/>
      <c r="W41" s="148"/>
      <c r="X41" s="148"/>
      <c r="Y41" s="148"/>
      <c r="Z41" s="148"/>
      <c r="AA41" s="25"/>
    </row>
    <row r="42" spans="1:27" s="50" customFormat="1" ht="23.1" hidden="1" customHeight="1">
      <c r="A42" s="37"/>
      <c r="B42" s="147"/>
      <c r="C42" s="147"/>
      <c r="D42" s="147"/>
      <c r="E42" s="147"/>
      <c r="F42" s="147"/>
      <c r="G42" s="147"/>
      <c r="H42" s="148"/>
      <c r="I42" s="148"/>
      <c r="J42" s="148"/>
      <c r="K42" s="148"/>
      <c r="L42" s="148"/>
      <c r="M42" s="148"/>
      <c r="N42" s="41"/>
      <c r="O42" s="147"/>
      <c r="P42" s="147"/>
      <c r="Q42" s="147"/>
      <c r="R42" s="147"/>
      <c r="S42" s="147"/>
      <c r="T42" s="147"/>
      <c r="U42" s="148"/>
      <c r="V42" s="148"/>
      <c r="W42" s="148"/>
      <c r="X42" s="148"/>
      <c r="Y42" s="148"/>
      <c r="Z42" s="148"/>
      <c r="AA42" s="25"/>
    </row>
    <row r="43" spans="1:27" s="50" customFormat="1" ht="23.1" hidden="1" customHeight="1">
      <c r="A43" s="37"/>
      <c r="B43" s="147"/>
      <c r="C43" s="147"/>
      <c r="D43" s="147"/>
      <c r="E43" s="147"/>
      <c r="F43" s="147"/>
      <c r="G43" s="147"/>
      <c r="H43" s="148"/>
      <c r="I43" s="148"/>
      <c r="J43" s="148"/>
      <c r="K43" s="148"/>
      <c r="L43" s="148"/>
      <c r="M43" s="148"/>
      <c r="N43" s="41"/>
      <c r="O43" s="147"/>
      <c r="P43" s="147"/>
      <c r="Q43" s="147"/>
      <c r="R43" s="147"/>
      <c r="S43" s="147"/>
      <c r="T43" s="147"/>
      <c r="U43" s="148"/>
      <c r="V43" s="148"/>
      <c r="W43" s="148"/>
      <c r="X43" s="148"/>
      <c r="Y43" s="148"/>
      <c r="Z43" s="148"/>
      <c r="AA43" s="25"/>
    </row>
    <row r="44" spans="1:27" s="50" customFormat="1" ht="23.1" hidden="1" customHeight="1">
      <c r="A44" s="37"/>
      <c r="B44" s="147"/>
      <c r="C44" s="147"/>
      <c r="D44" s="147"/>
      <c r="E44" s="147"/>
      <c r="F44" s="147"/>
      <c r="G44" s="147"/>
      <c r="H44" s="148"/>
      <c r="I44" s="148"/>
      <c r="J44" s="148"/>
      <c r="K44" s="148"/>
      <c r="L44" s="148"/>
      <c r="M44" s="148"/>
      <c r="N44" s="41"/>
      <c r="O44" s="147"/>
      <c r="P44" s="147"/>
      <c r="Q44" s="147"/>
      <c r="R44" s="147"/>
      <c r="S44" s="147"/>
      <c r="T44" s="147"/>
      <c r="U44" s="148"/>
      <c r="V44" s="148"/>
      <c r="W44" s="148"/>
      <c r="X44" s="148"/>
      <c r="Y44" s="148"/>
      <c r="Z44" s="148"/>
      <c r="AA44" s="25"/>
    </row>
    <row r="45" spans="1:27" s="50" customFormat="1" ht="23.1" hidden="1" customHeight="1">
      <c r="A45" s="37"/>
      <c r="B45" s="147"/>
      <c r="C45" s="147"/>
      <c r="D45" s="147"/>
      <c r="E45" s="147"/>
      <c r="F45" s="147"/>
      <c r="G45" s="147"/>
      <c r="H45" s="148"/>
      <c r="I45" s="148"/>
      <c r="J45" s="148"/>
      <c r="K45" s="148"/>
      <c r="L45" s="148"/>
      <c r="M45" s="148"/>
      <c r="N45" s="41"/>
      <c r="O45" s="147"/>
      <c r="P45" s="147"/>
      <c r="Q45" s="147"/>
      <c r="R45" s="147"/>
      <c r="S45" s="147"/>
      <c r="T45" s="147"/>
      <c r="U45" s="148"/>
      <c r="V45" s="148"/>
      <c r="W45" s="148"/>
      <c r="X45" s="148"/>
      <c r="Y45" s="148"/>
      <c r="Z45" s="148"/>
      <c r="AA45" s="25"/>
    </row>
    <row r="46" spans="1:27" s="50" customFormat="1" ht="23.1" hidden="1" customHeight="1">
      <c r="A46" s="37"/>
      <c r="B46" s="147"/>
      <c r="C46" s="147"/>
      <c r="D46" s="147"/>
      <c r="E46" s="147"/>
      <c r="F46" s="147"/>
      <c r="G46" s="147"/>
      <c r="H46" s="148"/>
      <c r="I46" s="148"/>
      <c r="J46" s="148"/>
      <c r="K46" s="148"/>
      <c r="L46" s="148"/>
      <c r="M46" s="148"/>
      <c r="N46" s="41"/>
      <c r="O46" s="147"/>
      <c r="P46" s="147"/>
      <c r="Q46" s="147"/>
      <c r="R46" s="147"/>
      <c r="S46" s="147"/>
      <c r="T46" s="147"/>
      <c r="U46" s="148"/>
      <c r="V46" s="148"/>
      <c r="W46" s="148"/>
      <c r="X46" s="148"/>
      <c r="Y46" s="148"/>
      <c r="Z46" s="148"/>
      <c r="AA46" s="25"/>
    </row>
    <row r="47" spans="1:27" s="50" customFormat="1" ht="23.1" hidden="1" customHeight="1">
      <c r="A47" s="37"/>
      <c r="B47" s="147"/>
      <c r="C47" s="147"/>
      <c r="D47" s="147"/>
      <c r="E47" s="147"/>
      <c r="F47" s="147"/>
      <c r="G47" s="147"/>
      <c r="H47" s="148"/>
      <c r="I47" s="148"/>
      <c r="J47" s="148"/>
      <c r="K47" s="148"/>
      <c r="L47" s="148"/>
      <c r="M47" s="148"/>
      <c r="N47" s="41"/>
      <c r="O47" s="147"/>
      <c r="P47" s="147"/>
      <c r="Q47" s="147"/>
      <c r="R47" s="147"/>
      <c r="S47" s="147"/>
      <c r="T47" s="147"/>
      <c r="U47" s="148"/>
      <c r="V47" s="148"/>
      <c r="W47" s="148"/>
      <c r="X47" s="148"/>
      <c r="Y47" s="148"/>
      <c r="Z47" s="148"/>
      <c r="AA47" s="25"/>
    </row>
    <row r="48" spans="1:27" s="50" customFormat="1" ht="23.1" hidden="1" customHeight="1">
      <c r="A48" s="37"/>
      <c r="B48" s="147"/>
      <c r="C48" s="147"/>
      <c r="D48" s="147"/>
      <c r="E48" s="147"/>
      <c r="F48" s="147"/>
      <c r="G48" s="147"/>
      <c r="H48" s="148"/>
      <c r="I48" s="148"/>
      <c r="J48" s="148"/>
      <c r="K48" s="148"/>
      <c r="L48" s="148"/>
      <c r="M48" s="148"/>
      <c r="N48" s="41"/>
      <c r="O48" s="147"/>
      <c r="P48" s="147"/>
      <c r="Q48" s="147"/>
      <c r="R48" s="147"/>
      <c r="S48" s="147"/>
      <c r="T48" s="147"/>
      <c r="U48" s="148"/>
      <c r="V48" s="148"/>
      <c r="W48" s="148"/>
      <c r="X48" s="148"/>
      <c r="Y48" s="148"/>
      <c r="Z48" s="148"/>
      <c r="AA48" s="25"/>
    </row>
    <row r="49" spans="1:27" s="50" customFormat="1" ht="23.1" hidden="1" customHeight="1">
      <c r="A49" s="37"/>
      <c r="B49" s="147"/>
      <c r="C49" s="147"/>
      <c r="D49" s="147"/>
      <c r="E49" s="147"/>
      <c r="F49" s="147"/>
      <c r="G49" s="147"/>
      <c r="H49" s="148"/>
      <c r="I49" s="148"/>
      <c r="J49" s="148"/>
      <c r="K49" s="148"/>
      <c r="L49" s="148"/>
      <c r="M49" s="148"/>
      <c r="N49" s="41"/>
      <c r="O49" s="147"/>
      <c r="P49" s="147"/>
      <c r="Q49" s="147"/>
      <c r="R49" s="147"/>
      <c r="S49" s="147"/>
      <c r="T49" s="147"/>
      <c r="U49" s="148"/>
      <c r="V49" s="148"/>
      <c r="W49" s="148"/>
      <c r="X49" s="148"/>
      <c r="Y49" s="148"/>
      <c r="Z49" s="148"/>
      <c r="AA49" s="25"/>
    </row>
    <row r="50" spans="1:27" s="50" customFormat="1" ht="23.1" hidden="1" customHeight="1">
      <c r="A50" s="37"/>
      <c r="B50" s="147"/>
      <c r="C50" s="147"/>
      <c r="D50" s="147"/>
      <c r="E50" s="147"/>
      <c r="F50" s="147"/>
      <c r="G50" s="147"/>
      <c r="H50" s="148"/>
      <c r="I50" s="148"/>
      <c r="J50" s="148"/>
      <c r="K50" s="148"/>
      <c r="L50" s="148"/>
      <c r="M50" s="148"/>
      <c r="N50" s="41"/>
      <c r="O50" s="147"/>
      <c r="P50" s="147"/>
      <c r="Q50" s="147"/>
      <c r="R50" s="147"/>
      <c r="S50" s="147"/>
      <c r="T50" s="147"/>
      <c r="U50" s="148"/>
      <c r="V50" s="148"/>
      <c r="W50" s="148"/>
      <c r="X50" s="148"/>
      <c r="Y50" s="148"/>
      <c r="Z50" s="148"/>
      <c r="AA50" s="25"/>
    </row>
    <row r="51" spans="1:27" s="50" customFormat="1" ht="23.1" hidden="1" customHeight="1">
      <c r="A51" s="37"/>
      <c r="B51" s="147"/>
      <c r="C51" s="147"/>
      <c r="D51" s="147"/>
      <c r="E51" s="147"/>
      <c r="F51" s="147"/>
      <c r="G51" s="147"/>
      <c r="H51" s="148"/>
      <c r="I51" s="148"/>
      <c r="J51" s="148"/>
      <c r="K51" s="148"/>
      <c r="L51" s="148"/>
      <c r="M51" s="148"/>
      <c r="N51" s="41"/>
      <c r="O51" s="147"/>
      <c r="P51" s="147"/>
      <c r="Q51" s="147"/>
      <c r="R51" s="147"/>
      <c r="S51" s="147"/>
      <c r="T51" s="147"/>
      <c r="U51" s="148"/>
      <c r="V51" s="148"/>
      <c r="W51" s="148"/>
      <c r="X51" s="148"/>
      <c r="Y51" s="148"/>
      <c r="Z51" s="148"/>
      <c r="AA51" s="25"/>
    </row>
    <row r="52" spans="1:27" s="50" customFormat="1" ht="23.1" hidden="1" customHeight="1">
      <c r="A52" s="37"/>
      <c r="B52" s="147"/>
      <c r="C52" s="147"/>
      <c r="D52" s="147"/>
      <c r="E52" s="147"/>
      <c r="F52" s="147"/>
      <c r="G52" s="147"/>
      <c r="H52" s="148"/>
      <c r="I52" s="148"/>
      <c r="J52" s="148"/>
      <c r="K52" s="148"/>
      <c r="L52" s="148"/>
      <c r="M52" s="148"/>
      <c r="N52" s="41"/>
      <c r="O52" s="147"/>
      <c r="P52" s="147"/>
      <c r="Q52" s="147"/>
      <c r="R52" s="147"/>
      <c r="S52" s="147"/>
      <c r="T52" s="147"/>
      <c r="U52" s="148"/>
      <c r="V52" s="148"/>
      <c r="W52" s="148"/>
      <c r="X52" s="148"/>
      <c r="Y52" s="148"/>
      <c r="Z52" s="148"/>
      <c r="AA52" s="25"/>
    </row>
    <row r="53" spans="1:27" s="50" customFormat="1" ht="24.95" customHeight="1">
      <c r="A53" s="37"/>
      <c r="B53" s="154" t="s">
        <v>67</v>
      </c>
      <c r="C53" s="154"/>
      <c r="D53" s="154"/>
      <c r="E53" s="154"/>
      <c r="F53" s="154"/>
      <c r="G53" s="154"/>
      <c r="H53" s="155"/>
      <c r="I53" s="155"/>
      <c r="J53" s="155"/>
      <c r="K53" s="155"/>
      <c r="L53" s="155"/>
      <c r="M53" s="155"/>
      <c r="N53" s="41"/>
      <c r="O53" s="154" t="s">
        <v>68</v>
      </c>
      <c r="P53" s="154"/>
      <c r="Q53" s="154"/>
      <c r="R53" s="154"/>
      <c r="S53" s="154"/>
      <c r="T53" s="154"/>
      <c r="U53" s="155"/>
      <c r="V53" s="155"/>
      <c r="W53" s="155"/>
      <c r="X53" s="155"/>
      <c r="Y53" s="155"/>
      <c r="Z53" s="155"/>
      <c r="AA53" s="25"/>
    </row>
    <row r="54" spans="1:27" s="50" customFormat="1" ht="9.9499999999999993" customHeight="1">
      <c r="A54" s="37"/>
      <c r="B54" s="42"/>
      <c r="C54" s="42"/>
      <c r="D54" s="42"/>
      <c r="E54" s="42"/>
      <c r="F54" s="42"/>
      <c r="G54" s="42"/>
      <c r="H54" s="25"/>
      <c r="I54" s="25"/>
      <c r="J54" s="25"/>
      <c r="K54" s="25"/>
      <c r="L54" s="25"/>
      <c r="M54" s="25"/>
      <c r="N54" s="41"/>
      <c r="O54" s="25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25"/>
    </row>
    <row r="55" spans="1:27" s="50" customFormat="1" ht="24.95" customHeight="1" thickBot="1">
      <c r="A55" s="25"/>
      <c r="B55" s="162" t="s">
        <v>69</v>
      </c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4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25"/>
    </row>
    <row r="56" spans="1:27" s="50" customFormat="1" ht="15" customHeigh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</row>
    <row r="57" spans="1:27" s="50" customFormat="1" ht="24.95" customHeight="1">
      <c r="A57" s="37"/>
      <c r="B57" s="166" t="s">
        <v>70</v>
      </c>
      <c r="C57" s="166"/>
      <c r="D57" s="166"/>
      <c r="E57" s="166"/>
      <c r="F57" s="166"/>
      <c r="G57" s="166"/>
      <c r="H57" s="166"/>
      <c r="I57" s="166"/>
      <c r="J57" s="166"/>
      <c r="K57" s="166"/>
      <c r="L57" s="166"/>
      <c r="M57" s="25"/>
      <c r="N57" s="41"/>
      <c r="O57" s="25"/>
      <c r="P57" s="43"/>
      <c r="Q57" s="43"/>
      <c r="R57" s="43"/>
      <c r="S57" s="43"/>
      <c r="T57" s="43"/>
      <c r="U57" s="43"/>
      <c r="V57" s="43"/>
      <c r="W57" s="25"/>
      <c r="X57" s="25"/>
      <c r="Y57" s="25"/>
      <c r="Z57" s="25"/>
      <c r="AA57" s="25"/>
    </row>
    <row r="58" spans="1:27" s="50" customFormat="1" ht="24.95" customHeight="1">
      <c r="A58" s="37"/>
      <c r="B58" s="167" t="s">
        <v>71</v>
      </c>
      <c r="C58" s="167"/>
      <c r="D58" s="167"/>
      <c r="E58" s="167"/>
      <c r="F58" s="167"/>
      <c r="G58" s="167"/>
      <c r="H58" s="167"/>
      <c r="I58" s="167"/>
      <c r="J58" s="151" t="s">
        <v>72</v>
      </c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25"/>
    </row>
    <row r="59" spans="1:27" s="50" customFormat="1" ht="23.1" customHeight="1">
      <c r="A59" s="37"/>
      <c r="B59" s="156"/>
      <c r="C59" s="156"/>
      <c r="D59" s="156"/>
      <c r="E59" s="156"/>
      <c r="F59" s="156"/>
      <c r="G59" s="156"/>
      <c r="H59" s="156"/>
      <c r="I59" s="156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8"/>
      <c r="V59" s="158"/>
      <c r="W59" s="158"/>
      <c r="X59" s="158"/>
      <c r="Y59" s="158"/>
      <c r="Z59" s="158"/>
      <c r="AA59" s="25"/>
    </row>
    <row r="60" spans="1:27" s="50" customFormat="1" ht="23.1" customHeight="1">
      <c r="A60" s="37"/>
      <c r="B60" s="159"/>
      <c r="C60" s="159"/>
      <c r="D60" s="159"/>
      <c r="E60" s="159"/>
      <c r="F60" s="159"/>
      <c r="G60" s="159"/>
      <c r="H60" s="159"/>
      <c r="I60" s="159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1"/>
      <c r="V60" s="161"/>
      <c r="W60" s="161"/>
      <c r="X60" s="161"/>
      <c r="Y60" s="161"/>
      <c r="Z60" s="161"/>
      <c r="AA60" s="25"/>
    </row>
    <row r="61" spans="1:27" s="50" customFormat="1" ht="23.1" customHeight="1">
      <c r="A61" s="37"/>
      <c r="B61" s="159"/>
      <c r="C61" s="159"/>
      <c r="D61" s="159"/>
      <c r="E61" s="159"/>
      <c r="F61" s="159"/>
      <c r="G61" s="159"/>
      <c r="H61" s="159"/>
      <c r="I61" s="159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1"/>
      <c r="V61" s="161"/>
      <c r="W61" s="161"/>
      <c r="X61" s="161"/>
      <c r="Y61" s="161"/>
      <c r="Z61" s="161"/>
      <c r="AA61" s="25"/>
    </row>
    <row r="62" spans="1:27" s="50" customFormat="1" ht="23.1" customHeight="1">
      <c r="A62" s="37"/>
      <c r="B62" s="159"/>
      <c r="C62" s="159"/>
      <c r="D62" s="159"/>
      <c r="E62" s="159"/>
      <c r="F62" s="159"/>
      <c r="G62" s="159"/>
      <c r="H62" s="159"/>
      <c r="I62" s="159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1"/>
      <c r="V62" s="161"/>
      <c r="W62" s="161"/>
      <c r="X62" s="161"/>
      <c r="Y62" s="161"/>
      <c r="Z62" s="161"/>
      <c r="AA62" s="25"/>
    </row>
    <row r="63" spans="1:27" s="50" customFormat="1" ht="23.1" customHeight="1">
      <c r="A63" s="37"/>
      <c r="B63" s="159"/>
      <c r="C63" s="159"/>
      <c r="D63" s="159"/>
      <c r="E63" s="159"/>
      <c r="F63" s="159"/>
      <c r="G63" s="159"/>
      <c r="H63" s="159"/>
      <c r="I63" s="159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1"/>
      <c r="V63" s="161"/>
      <c r="W63" s="161"/>
      <c r="X63" s="161"/>
      <c r="Y63" s="161"/>
      <c r="Z63" s="161"/>
      <c r="AA63" s="25"/>
    </row>
    <row r="64" spans="1:27" s="50" customFormat="1" ht="23.1" customHeight="1">
      <c r="A64" s="37"/>
      <c r="B64" s="159"/>
      <c r="C64" s="159"/>
      <c r="D64" s="159"/>
      <c r="E64" s="159"/>
      <c r="F64" s="159"/>
      <c r="G64" s="159"/>
      <c r="H64" s="159"/>
      <c r="I64" s="159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1"/>
      <c r="V64" s="161"/>
      <c r="W64" s="161"/>
      <c r="X64" s="161"/>
      <c r="Y64" s="161"/>
      <c r="Z64" s="161"/>
      <c r="AA64" s="25"/>
    </row>
    <row r="65" spans="1:27" s="50" customFormat="1" ht="23.1" hidden="1" customHeight="1">
      <c r="A65" s="37"/>
      <c r="B65" s="159"/>
      <c r="C65" s="159"/>
      <c r="D65" s="159"/>
      <c r="E65" s="159"/>
      <c r="F65" s="159"/>
      <c r="G65" s="159"/>
      <c r="H65" s="159"/>
      <c r="I65" s="159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1"/>
      <c r="V65" s="161"/>
      <c r="W65" s="161"/>
      <c r="X65" s="161"/>
      <c r="Y65" s="161"/>
      <c r="Z65" s="161"/>
      <c r="AA65" s="25"/>
    </row>
    <row r="66" spans="1:27" s="50" customFormat="1" ht="23.1" hidden="1" customHeight="1">
      <c r="A66" s="37"/>
      <c r="B66" s="159"/>
      <c r="C66" s="159"/>
      <c r="D66" s="159"/>
      <c r="E66" s="159"/>
      <c r="F66" s="159"/>
      <c r="G66" s="159"/>
      <c r="H66" s="159"/>
      <c r="I66" s="159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1"/>
      <c r="V66" s="161"/>
      <c r="W66" s="161"/>
      <c r="X66" s="161"/>
      <c r="Y66" s="161"/>
      <c r="Z66" s="161"/>
      <c r="AA66" s="25"/>
    </row>
    <row r="67" spans="1:27" s="50" customFormat="1" ht="23.1" customHeight="1">
      <c r="A67" s="37"/>
      <c r="B67" s="159"/>
      <c r="C67" s="159"/>
      <c r="D67" s="159"/>
      <c r="E67" s="159"/>
      <c r="F67" s="159"/>
      <c r="G67" s="159"/>
      <c r="H67" s="159"/>
      <c r="I67" s="159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1"/>
      <c r="V67" s="161"/>
      <c r="W67" s="161"/>
      <c r="X67" s="161"/>
      <c r="Y67" s="161"/>
      <c r="Z67" s="161"/>
      <c r="AA67" s="25"/>
    </row>
    <row r="68" spans="1:27" s="50" customFormat="1" ht="23.1" customHeight="1">
      <c r="A68" s="37"/>
      <c r="B68" s="159"/>
      <c r="C68" s="159"/>
      <c r="D68" s="159"/>
      <c r="E68" s="159"/>
      <c r="F68" s="159"/>
      <c r="G68" s="159"/>
      <c r="H68" s="159"/>
      <c r="I68" s="159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1"/>
      <c r="V68" s="161"/>
      <c r="W68" s="161"/>
      <c r="X68" s="161"/>
      <c r="Y68" s="161"/>
      <c r="Z68" s="161"/>
      <c r="AA68" s="25"/>
    </row>
    <row r="69" spans="1:27" s="50" customFormat="1" ht="23.1" customHeight="1">
      <c r="A69" s="37"/>
      <c r="B69" s="159"/>
      <c r="C69" s="159"/>
      <c r="D69" s="159"/>
      <c r="E69" s="159"/>
      <c r="F69" s="159"/>
      <c r="G69" s="159"/>
      <c r="H69" s="159"/>
      <c r="I69" s="159"/>
      <c r="J69" s="160"/>
      <c r="K69" s="160"/>
      <c r="L69" s="160"/>
      <c r="M69" s="160"/>
      <c r="N69" s="160"/>
      <c r="O69" s="160"/>
      <c r="P69" s="160"/>
      <c r="Q69" s="160"/>
      <c r="R69" s="160"/>
      <c r="S69" s="160"/>
      <c r="T69" s="160"/>
      <c r="U69" s="161"/>
      <c r="V69" s="161"/>
      <c r="W69" s="161"/>
      <c r="X69" s="161"/>
      <c r="Y69" s="161"/>
      <c r="Z69" s="161"/>
      <c r="AA69" s="25"/>
    </row>
    <row r="70" spans="1:27" s="50" customFormat="1" ht="23.1" customHeight="1">
      <c r="A70" s="37"/>
      <c r="B70" s="159"/>
      <c r="C70" s="159"/>
      <c r="D70" s="159"/>
      <c r="E70" s="159"/>
      <c r="F70" s="159"/>
      <c r="G70" s="159"/>
      <c r="H70" s="159"/>
      <c r="I70" s="159"/>
      <c r="J70" s="160"/>
      <c r="K70" s="160"/>
      <c r="L70" s="160"/>
      <c r="M70" s="160"/>
      <c r="N70" s="160"/>
      <c r="O70" s="160"/>
      <c r="P70" s="160"/>
      <c r="Q70" s="160"/>
      <c r="R70" s="160"/>
      <c r="S70" s="160"/>
      <c r="T70" s="160"/>
      <c r="U70" s="161"/>
      <c r="V70" s="161"/>
      <c r="W70" s="161"/>
      <c r="X70" s="161"/>
      <c r="Y70" s="161"/>
      <c r="Z70" s="161"/>
      <c r="AA70" s="25"/>
    </row>
    <row r="71" spans="1:27" s="50" customFormat="1" ht="23.1" customHeight="1">
      <c r="A71" s="37"/>
      <c r="B71" s="159"/>
      <c r="C71" s="159"/>
      <c r="D71" s="159"/>
      <c r="E71" s="159"/>
      <c r="F71" s="159"/>
      <c r="G71" s="159"/>
      <c r="H71" s="159"/>
      <c r="I71" s="159"/>
      <c r="J71" s="160"/>
      <c r="K71" s="160"/>
      <c r="L71" s="160"/>
      <c r="M71" s="160"/>
      <c r="N71" s="160"/>
      <c r="O71" s="160"/>
      <c r="P71" s="160"/>
      <c r="Q71" s="160"/>
      <c r="R71" s="160"/>
      <c r="S71" s="160"/>
      <c r="T71" s="160"/>
      <c r="U71" s="161"/>
      <c r="V71" s="161"/>
      <c r="W71" s="161"/>
      <c r="X71" s="161"/>
      <c r="Y71" s="161"/>
      <c r="Z71" s="161"/>
      <c r="AA71" s="25"/>
    </row>
    <row r="72" spans="1:27" s="50" customFormat="1" ht="23.1" hidden="1" customHeight="1">
      <c r="A72" s="37"/>
      <c r="B72" s="159"/>
      <c r="C72" s="159"/>
      <c r="D72" s="159"/>
      <c r="E72" s="159"/>
      <c r="F72" s="159"/>
      <c r="G72" s="159"/>
      <c r="H72" s="159"/>
      <c r="I72" s="159"/>
      <c r="J72" s="160"/>
      <c r="K72" s="160"/>
      <c r="L72" s="160"/>
      <c r="M72" s="160"/>
      <c r="N72" s="160"/>
      <c r="O72" s="160"/>
      <c r="P72" s="160"/>
      <c r="Q72" s="160"/>
      <c r="R72" s="160"/>
      <c r="S72" s="160"/>
      <c r="T72" s="160"/>
      <c r="U72" s="161"/>
      <c r="V72" s="161"/>
      <c r="W72" s="161"/>
      <c r="X72" s="161"/>
      <c r="Y72" s="161"/>
      <c r="Z72" s="161"/>
      <c r="AA72" s="25"/>
    </row>
    <row r="73" spans="1:27" s="50" customFormat="1" ht="23.1" hidden="1" customHeight="1">
      <c r="A73" s="37"/>
      <c r="B73" s="159"/>
      <c r="C73" s="159"/>
      <c r="D73" s="159"/>
      <c r="E73" s="159"/>
      <c r="F73" s="159"/>
      <c r="G73" s="159"/>
      <c r="H73" s="159"/>
      <c r="I73" s="159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1"/>
      <c r="V73" s="161"/>
      <c r="W73" s="161"/>
      <c r="X73" s="161"/>
      <c r="Y73" s="161"/>
      <c r="Z73" s="161"/>
      <c r="AA73" s="25"/>
    </row>
    <row r="74" spans="1:27" s="50" customFormat="1" ht="23.1" hidden="1" customHeight="1">
      <c r="A74" s="37"/>
      <c r="B74" s="159"/>
      <c r="C74" s="159"/>
      <c r="D74" s="159"/>
      <c r="E74" s="159"/>
      <c r="F74" s="159"/>
      <c r="G74" s="159"/>
      <c r="H74" s="159"/>
      <c r="I74" s="159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1"/>
      <c r="V74" s="161"/>
      <c r="W74" s="161"/>
      <c r="X74" s="161"/>
      <c r="Y74" s="161"/>
      <c r="Z74" s="161"/>
      <c r="AA74" s="25"/>
    </row>
    <row r="75" spans="1:27" s="50" customFormat="1" ht="23.1" hidden="1" customHeight="1">
      <c r="A75" s="37"/>
      <c r="B75" s="159"/>
      <c r="C75" s="159"/>
      <c r="D75" s="159"/>
      <c r="E75" s="159"/>
      <c r="F75" s="159"/>
      <c r="G75" s="159"/>
      <c r="H75" s="159"/>
      <c r="I75" s="159"/>
      <c r="J75" s="160"/>
      <c r="K75" s="160"/>
      <c r="L75" s="160"/>
      <c r="M75" s="160"/>
      <c r="N75" s="160"/>
      <c r="O75" s="160"/>
      <c r="P75" s="160"/>
      <c r="Q75" s="160"/>
      <c r="R75" s="160"/>
      <c r="S75" s="160"/>
      <c r="T75" s="160"/>
      <c r="U75" s="161"/>
      <c r="V75" s="161"/>
      <c r="W75" s="161"/>
      <c r="X75" s="161"/>
      <c r="Y75" s="161"/>
      <c r="Z75" s="161"/>
      <c r="AA75" s="25"/>
    </row>
    <row r="76" spans="1:27" s="50" customFormat="1" ht="23.1" hidden="1" customHeight="1">
      <c r="A76" s="37"/>
      <c r="B76" s="159"/>
      <c r="C76" s="159"/>
      <c r="D76" s="159"/>
      <c r="E76" s="159"/>
      <c r="F76" s="159"/>
      <c r="G76" s="159"/>
      <c r="H76" s="159"/>
      <c r="I76" s="159"/>
      <c r="J76" s="160"/>
      <c r="K76" s="160"/>
      <c r="L76" s="160"/>
      <c r="M76" s="160"/>
      <c r="N76" s="160"/>
      <c r="O76" s="160"/>
      <c r="P76" s="160"/>
      <c r="Q76" s="160"/>
      <c r="R76" s="160"/>
      <c r="S76" s="160"/>
      <c r="T76" s="160"/>
      <c r="U76" s="161"/>
      <c r="V76" s="161"/>
      <c r="W76" s="161"/>
      <c r="X76" s="161"/>
      <c r="Y76" s="161"/>
      <c r="Z76" s="161"/>
      <c r="AA76" s="25"/>
    </row>
    <row r="77" spans="1:27" s="50" customFormat="1" ht="23.1" hidden="1" customHeight="1">
      <c r="A77" s="37"/>
      <c r="B77" s="159"/>
      <c r="C77" s="159"/>
      <c r="D77" s="159"/>
      <c r="E77" s="159"/>
      <c r="F77" s="159"/>
      <c r="G77" s="159"/>
      <c r="H77" s="159"/>
      <c r="I77" s="159"/>
      <c r="J77" s="160"/>
      <c r="K77" s="160"/>
      <c r="L77" s="160"/>
      <c r="M77" s="160"/>
      <c r="N77" s="160"/>
      <c r="O77" s="160"/>
      <c r="P77" s="160"/>
      <c r="Q77" s="160"/>
      <c r="R77" s="160"/>
      <c r="S77" s="160"/>
      <c r="T77" s="160"/>
      <c r="U77" s="161"/>
      <c r="V77" s="161"/>
      <c r="W77" s="161"/>
      <c r="X77" s="161"/>
      <c r="Y77" s="161"/>
      <c r="Z77" s="161"/>
      <c r="AA77" s="25"/>
    </row>
    <row r="78" spans="1:27" s="50" customFormat="1" ht="23.1" hidden="1" customHeight="1">
      <c r="A78" s="37"/>
      <c r="B78" s="159"/>
      <c r="C78" s="159"/>
      <c r="D78" s="159"/>
      <c r="E78" s="159"/>
      <c r="F78" s="159"/>
      <c r="G78" s="159"/>
      <c r="H78" s="159"/>
      <c r="I78" s="159"/>
      <c r="J78" s="160"/>
      <c r="K78" s="160"/>
      <c r="L78" s="160"/>
      <c r="M78" s="160"/>
      <c r="N78" s="160"/>
      <c r="O78" s="160"/>
      <c r="P78" s="160"/>
      <c r="Q78" s="160"/>
      <c r="R78" s="160"/>
      <c r="S78" s="160"/>
      <c r="T78" s="160"/>
      <c r="U78" s="161"/>
      <c r="V78" s="161"/>
      <c r="W78" s="161"/>
      <c r="X78" s="161"/>
      <c r="Y78" s="161"/>
      <c r="Z78" s="161"/>
      <c r="AA78" s="25"/>
    </row>
    <row r="79" spans="1:27" s="50" customFormat="1" ht="23.1" hidden="1" customHeight="1">
      <c r="A79" s="37"/>
      <c r="B79" s="159"/>
      <c r="C79" s="159"/>
      <c r="D79" s="159"/>
      <c r="E79" s="159"/>
      <c r="F79" s="159"/>
      <c r="G79" s="159"/>
      <c r="H79" s="159"/>
      <c r="I79" s="159"/>
      <c r="J79" s="160"/>
      <c r="K79" s="160"/>
      <c r="L79" s="160"/>
      <c r="M79" s="160"/>
      <c r="N79" s="160"/>
      <c r="O79" s="160"/>
      <c r="P79" s="160"/>
      <c r="Q79" s="160"/>
      <c r="R79" s="160"/>
      <c r="S79" s="160"/>
      <c r="T79" s="160"/>
      <c r="U79" s="161"/>
      <c r="V79" s="161"/>
      <c r="W79" s="161"/>
      <c r="X79" s="161"/>
      <c r="Y79" s="161"/>
      <c r="Z79" s="161"/>
      <c r="AA79" s="25"/>
    </row>
    <row r="80" spans="1:27" s="50" customFormat="1" ht="23.1" hidden="1" customHeight="1">
      <c r="A80" s="37"/>
      <c r="B80" s="159"/>
      <c r="C80" s="159"/>
      <c r="D80" s="159"/>
      <c r="E80" s="159"/>
      <c r="F80" s="159"/>
      <c r="G80" s="159"/>
      <c r="H80" s="159"/>
      <c r="I80" s="159"/>
      <c r="J80" s="160"/>
      <c r="K80" s="160"/>
      <c r="L80" s="160"/>
      <c r="M80" s="160"/>
      <c r="N80" s="160"/>
      <c r="O80" s="160"/>
      <c r="P80" s="160"/>
      <c r="Q80" s="160"/>
      <c r="R80" s="160"/>
      <c r="S80" s="160"/>
      <c r="T80" s="160"/>
      <c r="U80" s="161"/>
      <c r="V80" s="161"/>
      <c r="W80" s="161"/>
      <c r="X80" s="161"/>
      <c r="Y80" s="161"/>
      <c r="Z80" s="161"/>
      <c r="AA80" s="25"/>
    </row>
    <row r="81" spans="1:27" s="50" customFormat="1" ht="23.1" hidden="1" customHeight="1">
      <c r="A81" s="37"/>
      <c r="B81" s="159"/>
      <c r="C81" s="159"/>
      <c r="D81" s="159"/>
      <c r="E81" s="159"/>
      <c r="F81" s="159"/>
      <c r="G81" s="159"/>
      <c r="H81" s="159"/>
      <c r="I81" s="159"/>
      <c r="J81" s="160"/>
      <c r="K81" s="160"/>
      <c r="L81" s="160"/>
      <c r="M81" s="160"/>
      <c r="N81" s="160"/>
      <c r="O81" s="160"/>
      <c r="P81" s="160"/>
      <c r="Q81" s="160"/>
      <c r="R81" s="160"/>
      <c r="S81" s="160"/>
      <c r="T81" s="160"/>
      <c r="U81" s="161"/>
      <c r="V81" s="161"/>
      <c r="W81" s="161"/>
      <c r="X81" s="161"/>
      <c r="Y81" s="161"/>
      <c r="Z81" s="161"/>
      <c r="AA81" s="25"/>
    </row>
    <row r="82" spans="1:27" s="50" customFormat="1" ht="23.1" hidden="1" customHeight="1">
      <c r="A82" s="37"/>
      <c r="B82" s="159"/>
      <c r="C82" s="159"/>
      <c r="D82" s="159"/>
      <c r="E82" s="159"/>
      <c r="F82" s="159"/>
      <c r="G82" s="159"/>
      <c r="H82" s="159"/>
      <c r="I82" s="159"/>
      <c r="J82" s="160"/>
      <c r="K82" s="160"/>
      <c r="L82" s="160"/>
      <c r="M82" s="160"/>
      <c r="N82" s="160"/>
      <c r="O82" s="160"/>
      <c r="P82" s="160"/>
      <c r="Q82" s="160"/>
      <c r="R82" s="160"/>
      <c r="S82" s="160"/>
      <c r="T82" s="160"/>
      <c r="U82" s="161"/>
      <c r="V82" s="161"/>
      <c r="W82" s="161"/>
      <c r="X82" s="161"/>
      <c r="Y82" s="161"/>
      <c r="Z82" s="161"/>
      <c r="AA82" s="25"/>
    </row>
    <row r="83" spans="1:27" s="50" customFormat="1" ht="23.1" hidden="1" customHeight="1">
      <c r="A83" s="37"/>
      <c r="B83" s="159"/>
      <c r="C83" s="159"/>
      <c r="D83" s="159"/>
      <c r="E83" s="159"/>
      <c r="F83" s="159"/>
      <c r="G83" s="159"/>
      <c r="H83" s="159"/>
      <c r="I83" s="159"/>
      <c r="J83" s="160"/>
      <c r="K83" s="160"/>
      <c r="L83" s="160"/>
      <c r="M83" s="160"/>
      <c r="N83" s="160"/>
      <c r="O83" s="160"/>
      <c r="P83" s="160"/>
      <c r="Q83" s="160"/>
      <c r="R83" s="160"/>
      <c r="S83" s="160"/>
      <c r="T83" s="160"/>
      <c r="U83" s="161"/>
      <c r="V83" s="161"/>
      <c r="W83" s="161"/>
      <c r="X83" s="161"/>
      <c r="Y83" s="161"/>
      <c r="Z83" s="161"/>
      <c r="AA83" s="25"/>
    </row>
    <row r="84" spans="1:27" s="50" customFormat="1" ht="23.1" hidden="1" customHeight="1">
      <c r="A84" s="37"/>
      <c r="B84" s="159"/>
      <c r="C84" s="159"/>
      <c r="D84" s="159"/>
      <c r="E84" s="159"/>
      <c r="F84" s="159"/>
      <c r="G84" s="159"/>
      <c r="H84" s="159"/>
      <c r="I84" s="159"/>
      <c r="J84" s="160"/>
      <c r="K84" s="160"/>
      <c r="L84" s="160"/>
      <c r="M84" s="160"/>
      <c r="N84" s="160"/>
      <c r="O84" s="160"/>
      <c r="P84" s="160"/>
      <c r="Q84" s="160"/>
      <c r="R84" s="160"/>
      <c r="S84" s="160"/>
      <c r="T84" s="160"/>
      <c r="U84" s="161"/>
      <c r="V84" s="161"/>
      <c r="W84" s="161"/>
      <c r="X84" s="161"/>
      <c r="Y84" s="161"/>
      <c r="Z84" s="161"/>
      <c r="AA84" s="25"/>
    </row>
    <row r="85" spans="1:27" s="50" customFormat="1" ht="23.1" hidden="1" customHeight="1">
      <c r="A85" s="37"/>
      <c r="B85" s="159"/>
      <c r="C85" s="159"/>
      <c r="D85" s="159"/>
      <c r="E85" s="159"/>
      <c r="F85" s="159"/>
      <c r="G85" s="159"/>
      <c r="H85" s="159"/>
      <c r="I85" s="159"/>
      <c r="J85" s="160"/>
      <c r="K85" s="160"/>
      <c r="L85" s="160"/>
      <c r="M85" s="160"/>
      <c r="N85" s="160"/>
      <c r="O85" s="160"/>
      <c r="P85" s="160"/>
      <c r="Q85" s="160"/>
      <c r="R85" s="160"/>
      <c r="S85" s="160"/>
      <c r="T85" s="160"/>
      <c r="U85" s="161"/>
      <c r="V85" s="161"/>
      <c r="W85" s="161"/>
      <c r="X85" s="161"/>
      <c r="Y85" s="161"/>
      <c r="Z85" s="161"/>
      <c r="AA85" s="25"/>
    </row>
    <row r="86" spans="1:27" s="50" customFormat="1" ht="23.1" hidden="1" customHeight="1">
      <c r="A86" s="37"/>
      <c r="B86" s="159"/>
      <c r="C86" s="159"/>
      <c r="D86" s="159"/>
      <c r="E86" s="159"/>
      <c r="F86" s="159"/>
      <c r="G86" s="159"/>
      <c r="H86" s="159"/>
      <c r="I86" s="159"/>
      <c r="J86" s="160"/>
      <c r="K86" s="160"/>
      <c r="L86" s="160"/>
      <c r="M86" s="160"/>
      <c r="N86" s="160"/>
      <c r="O86" s="160"/>
      <c r="P86" s="160"/>
      <c r="Q86" s="160"/>
      <c r="R86" s="160"/>
      <c r="S86" s="160"/>
      <c r="T86" s="160"/>
      <c r="U86" s="161"/>
      <c r="V86" s="161"/>
      <c r="W86" s="161"/>
      <c r="X86" s="161"/>
      <c r="Y86" s="161"/>
      <c r="Z86" s="161"/>
      <c r="AA86" s="25"/>
    </row>
    <row r="87" spans="1:27" s="50" customFormat="1" ht="23.1" hidden="1" customHeight="1">
      <c r="A87" s="37"/>
      <c r="B87" s="159"/>
      <c r="C87" s="159"/>
      <c r="D87" s="159"/>
      <c r="E87" s="159"/>
      <c r="F87" s="159"/>
      <c r="G87" s="159"/>
      <c r="H87" s="159"/>
      <c r="I87" s="159"/>
      <c r="J87" s="160"/>
      <c r="K87" s="160"/>
      <c r="L87" s="160"/>
      <c r="M87" s="160"/>
      <c r="N87" s="160"/>
      <c r="O87" s="160"/>
      <c r="P87" s="160"/>
      <c r="Q87" s="160"/>
      <c r="R87" s="160"/>
      <c r="S87" s="160"/>
      <c r="T87" s="160"/>
      <c r="U87" s="161"/>
      <c r="V87" s="161"/>
      <c r="W87" s="161"/>
      <c r="X87" s="161"/>
      <c r="Y87" s="161"/>
      <c r="Z87" s="161"/>
      <c r="AA87" s="25"/>
    </row>
    <row r="88" spans="1:27" s="50" customFormat="1" ht="23.1" hidden="1" customHeight="1">
      <c r="A88" s="37"/>
      <c r="B88" s="159"/>
      <c r="C88" s="159"/>
      <c r="D88" s="159"/>
      <c r="E88" s="159"/>
      <c r="F88" s="159"/>
      <c r="G88" s="159"/>
      <c r="H88" s="159"/>
      <c r="I88" s="159"/>
      <c r="J88" s="160"/>
      <c r="K88" s="160"/>
      <c r="L88" s="160"/>
      <c r="M88" s="160"/>
      <c r="N88" s="160"/>
      <c r="O88" s="160"/>
      <c r="P88" s="160"/>
      <c r="Q88" s="160"/>
      <c r="R88" s="160"/>
      <c r="S88" s="160"/>
      <c r="T88" s="160"/>
      <c r="U88" s="173"/>
      <c r="V88" s="173"/>
      <c r="W88" s="173"/>
      <c r="X88" s="173"/>
      <c r="Y88" s="173"/>
      <c r="Z88" s="173"/>
      <c r="AA88" s="25"/>
    </row>
    <row r="89" spans="1:27" s="50" customFormat="1" ht="15" customHeight="1">
      <c r="A89" s="25"/>
      <c r="B89" s="44"/>
      <c r="C89" s="44"/>
      <c r="D89" s="44"/>
      <c r="E89" s="44"/>
      <c r="F89" s="44"/>
      <c r="G89" s="44"/>
      <c r="H89" s="45"/>
      <c r="I89" s="45"/>
      <c r="J89" s="45"/>
      <c r="K89" s="45"/>
      <c r="L89" s="45"/>
      <c r="M89" s="45"/>
      <c r="N89" s="45"/>
      <c r="O89" s="46"/>
      <c r="P89" s="46"/>
      <c r="Q89" s="46"/>
      <c r="R89" s="46"/>
      <c r="S89" s="46"/>
      <c r="T89" s="46"/>
      <c r="U89" s="47"/>
      <c r="V89" s="47"/>
      <c r="W89" s="47"/>
      <c r="X89" s="47"/>
      <c r="Y89" s="47"/>
      <c r="Z89" s="47"/>
      <c r="AA89" s="25"/>
    </row>
    <row r="90" spans="1:27" s="50" customFormat="1" ht="21.95" customHeight="1">
      <c r="A90" s="25"/>
      <c r="B90" s="168" t="s">
        <v>74</v>
      </c>
      <c r="C90" s="169"/>
      <c r="D90" s="169"/>
      <c r="E90" s="169"/>
      <c r="F90" s="169"/>
      <c r="G90" s="169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69"/>
      <c r="T90" s="169"/>
      <c r="U90" s="169"/>
      <c r="V90" s="169"/>
      <c r="W90" s="169"/>
      <c r="X90" s="169"/>
      <c r="Y90" s="169"/>
      <c r="Z90" s="169"/>
      <c r="AA90" s="25"/>
    </row>
    <row r="91" spans="1:27" s="50" customFormat="1" ht="21.95" customHeight="1">
      <c r="A91" s="25"/>
      <c r="B91" s="170">
        <v>46117</v>
      </c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174"/>
      <c r="Q91" s="174"/>
      <c r="R91" s="174"/>
      <c r="S91" s="174"/>
      <c r="T91" s="174"/>
      <c r="U91" s="174"/>
      <c r="V91" s="174"/>
      <c r="W91" s="174"/>
      <c r="X91" s="174"/>
      <c r="Y91" s="174"/>
      <c r="Z91" s="174"/>
      <c r="AA91" s="25"/>
    </row>
    <row r="92" spans="1:27" s="50" customFormat="1" ht="15" customHeigh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</row>
    <row r="93" spans="1:27" s="50" customFormat="1" ht="21.95" customHeight="1">
      <c r="A93" s="25"/>
      <c r="B93" s="171"/>
      <c r="C93" s="172"/>
      <c r="D93" s="172"/>
      <c r="E93" s="172"/>
      <c r="F93" s="172"/>
      <c r="G93" s="172"/>
      <c r="H93" s="172"/>
      <c r="I93" s="172"/>
      <c r="J93" s="172"/>
      <c r="K93" s="172"/>
      <c r="L93" s="172"/>
      <c r="M93" s="172"/>
      <c r="N93" s="172"/>
      <c r="O93" s="172"/>
      <c r="P93" s="172"/>
      <c r="Q93" s="172"/>
      <c r="R93" s="172"/>
      <c r="S93" s="172"/>
      <c r="T93" s="172"/>
      <c r="U93" s="172"/>
      <c r="V93" s="172"/>
      <c r="W93" s="172"/>
      <c r="X93" s="172"/>
      <c r="Y93" s="172"/>
      <c r="Z93" s="172"/>
      <c r="AA93" s="25"/>
    </row>
    <row r="94" spans="1:27" s="50" customFormat="1" ht="21.95" customHeight="1">
      <c r="A94" s="25"/>
      <c r="B94" s="171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2"/>
      <c r="P94" s="172"/>
      <c r="Q94" s="172"/>
      <c r="R94" s="172"/>
      <c r="S94" s="172"/>
      <c r="T94" s="172"/>
      <c r="U94" s="172"/>
      <c r="V94" s="172"/>
      <c r="W94" s="172"/>
      <c r="X94" s="172"/>
      <c r="Y94" s="172"/>
      <c r="Z94" s="172"/>
      <c r="AA94" s="25"/>
    </row>
    <row r="95" spans="1:27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</sheetData>
  <mergeCells count="258">
    <mergeCell ref="B2:Z2"/>
    <mergeCell ref="B4:E4"/>
    <mergeCell ref="B5:E5"/>
    <mergeCell ref="F5:M5"/>
    <mergeCell ref="N5:Q5"/>
    <mergeCell ref="R5:Z5"/>
    <mergeCell ref="B8:E8"/>
    <mergeCell ref="F8:M8"/>
    <mergeCell ref="N8:Q8"/>
    <mergeCell ref="R8:Z8"/>
    <mergeCell ref="B10:G10"/>
    <mergeCell ref="H10:M10"/>
    <mergeCell ref="N10:S10"/>
    <mergeCell ref="T10:Z10"/>
    <mergeCell ref="B6:E6"/>
    <mergeCell ref="F6:M6"/>
    <mergeCell ref="N6:Q6"/>
    <mergeCell ref="R6:Z6"/>
    <mergeCell ref="B7:E7"/>
    <mergeCell ref="F7:M7"/>
    <mergeCell ref="N7:Q7"/>
    <mergeCell ref="R7:Z7"/>
    <mergeCell ref="B14:E14"/>
    <mergeCell ref="F14:I14"/>
    <mergeCell ref="J14:M14"/>
    <mergeCell ref="N14:Q14"/>
    <mergeCell ref="R14:U14"/>
    <mergeCell ref="V14:Z14"/>
    <mergeCell ref="B11:G11"/>
    <mergeCell ref="H11:M11"/>
    <mergeCell ref="N11:S11"/>
    <mergeCell ref="T11:Z11"/>
    <mergeCell ref="B13:E13"/>
    <mergeCell ref="F13:I13"/>
    <mergeCell ref="J13:M13"/>
    <mergeCell ref="N13:Q13"/>
    <mergeCell ref="R13:U13"/>
    <mergeCell ref="V13:Z13"/>
    <mergeCell ref="B16:F16"/>
    <mergeCell ref="G16:K16"/>
    <mergeCell ref="L16:P16"/>
    <mergeCell ref="Q16:U16"/>
    <mergeCell ref="V16:Z16"/>
    <mergeCell ref="B17:F17"/>
    <mergeCell ref="G17:K17"/>
    <mergeCell ref="L17:P17"/>
    <mergeCell ref="Q17:U17"/>
    <mergeCell ref="V17:Z17"/>
    <mergeCell ref="B18:F18"/>
    <mergeCell ref="G18:K18"/>
    <mergeCell ref="L18:P18"/>
    <mergeCell ref="Q18:U18"/>
    <mergeCell ref="V18:Z18"/>
    <mergeCell ref="B19:F19"/>
    <mergeCell ref="G19:K19"/>
    <mergeCell ref="L19:P19"/>
    <mergeCell ref="Q19:U19"/>
    <mergeCell ref="V19:Z19"/>
    <mergeCell ref="B24:G24"/>
    <mergeCell ref="H24:M24"/>
    <mergeCell ref="O24:T24"/>
    <mergeCell ref="U24:Z24"/>
    <mergeCell ref="B25:G25"/>
    <mergeCell ref="H25:M25"/>
    <mergeCell ref="O25:T25"/>
    <mergeCell ref="U25:Z25"/>
    <mergeCell ref="O21:R21"/>
    <mergeCell ref="B22:G22"/>
    <mergeCell ref="H22:M22"/>
    <mergeCell ref="O22:T22"/>
    <mergeCell ref="U22:Z22"/>
    <mergeCell ref="B23:G23"/>
    <mergeCell ref="H23:M23"/>
    <mergeCell ref="O23:T23"/>
    <mergeCell ref="U23:Z23"/>
    <mergeCell ref="B28:G28"/>
    <mergeCell ref="H28:M28"/>
    <mergeCell ref="O28:T28"/>
    <mergeCell ref="U28:Z28"/>
    <mergeCell ref="B29:G29"/>
    <mergeCell ref="H29:M29"/>
    <mergeCell ref="O29:T29"/>
    <mergeCell ref="U29:Z29"/>
    <mergeCell ref="B26:G26"/>
    <mergeCell ref="H26:M26"/>
    <mergeCell ref="O26:T26"/>
    <mergeCell ref="U26:Z26"/>
    <mergeCell ref="B27:G27"/>
    <mergeCell ref="H27:M27"/>
    <mergeCell ref="O27:T27"/>
    <mergeCell ref="U27:Z27"/>
    <mergeCell ref="B32:G32"/>
    <mergeCell ref="H32:M32"/>
    <mergeCell ref="O32:T32"/>
    <mergeCell ref="U32:Z32"/>
    <mergeCell ref="B33:G33"/>
    <mergeCell ref="H33:M33"/>
    <mergeCell ref="O33:T33"/>
    <mergeCell ref="U33:Z33"/>
    <mergeCell ref="B30:G30"/>
    <mergeCell ref="H30:M30"/>
    <mergeCell ref="O30:T30"/>
    <mergeCell ref="U30:Z30"/>
    <mergeCell ref="B31:G31"/>
    <mergeCell ref="H31:M31"/>
    <mergeCell ref="O31:T31"/>
    <mergeCell ref="U31:Z31"/>
    <mergeCell ref="B36:G36"/>
    <mergeCell ref="H36:M36"/>
    <mergeCell ref="O36:T36"/>
    <mergeCell ref="U36:Z36"/>
    <mergeCell ref="B37:G37"/>
    <mergeCell ref="H37:M37"/>
    <mergeCell ref="O37:T37"/>
    <mergeCell ref="U37:Z37"/>
    <mergeCell ref="B34:G34"/>
    <mergeCell ref="H34:M34"/>
    <mergeCell ref="O34:T34"/>
    <mergeCell ref="U34:Z34"/>
    <mergeCell ref="B35:G35"/>
    <mergeCell ref="H35:M35"/>
    <mergeCell ref="O35:T35"/>
    <mergeCell ref="U35:Z35"/>
    <mergeCell ref="B40:G40"/>
    <mergeCell ref="H40:M40"/>
    <mergeCell ref="O40:T40"/>
    <mergeCell ref="U40:Z40"/>
    <mergeCell ref="B41:G41"/>
    <mergeCell ref="H41:M41"/>
    <mergeCell ref="O41:T41"/>
    <mergeCell ref="U41:Z41"/>
    <mergeCell ref="B38:G38"/>
    <mergeCell ref="H38:M38"/>
    <mergeCell ref="O38:T38"/>
    <mergeCell ref="U38:Z38"/>
    <mergeCell ref="B39:G39"/>
    <mergeCell ref="H39:M39"/>
    <mergeCell ref="O39:T39"/>
    <mergeCell ref="U39:Z39"/>
    <mergeCell ref="B44:G44"/>
    <mergeCell ref="H44:M44"/>
    <mergeCell ref="O44:T44"/>
    <mergeCell ref="U44:Z44"/>
    <mergeCell ref="B45:G45"/>
    <mergeCell ref="H45:M45"/>
    <mergeCell ref="O45:T45"/>
    <mergeCell ref="U45:Z45"/>
    <mergeCell ref="B42:G42"/>
    <mergeCell ref="H42:M42"/>
    <mergeCell ref="O42:T42"/>
    <mergeCell ref="U42:Z42"/>
    <mergeCell ref="B43:G43"/>
    <mergeCell ref="H43:M43"/>
    <mergeCell ref="O43:T43"/>
    <mergeCell ref="U43:Z43"/>
    <mergeCell ref="B48:G48"/>
    <mergeCell ref="H48:M48"/>
    <mergeCell ref="O48:T48"/>
    <mergeCell ref="U48:Z48"/>
    <mergeCell ref="B49:G49"/>
    <mergeCell ref="H49:M49"/>
    <mergeCell ref="O49:T49"/>
    <mergeCell ref="U49:Z49"/>
    <mergeCell ref="B46:G46"/>
    <mergeCell ref="H46:M46"/>
    <mergeCell ref="O46:T46"/>
    <mergeCell ref="U46:Z46"/>
    <mergeCell ref="B47:G47"/>
    <mergeCell ref="H47:M47"/>
    <mergeCell ref="O47:T47"/>
    <mergeCell ref="U47:Z47"/>
    <mergeCell ref="B52:G52"/>
    <mergeCell ref="H52:M52"/>
    <mergeCell ref="O52:T52"/>
    <mergeCell ref="U52:Z52"/>
    <mergeCell ref="B53:G53"/>
    <mergeCell ref="H53:M53"/>
    <mergeCell ref="O53:T53"/>
    <mergeCell ref="U53:Z53"/>
    <mergeCell ref="B50:G50"/>
    <mergeCell ref="H50:M50"/>
    <mergeCell ref="O50:T50"/>
    <mergeCell ref="U50:Z50"/>
    <mergeCell ref="B51:G51"/>
    <mergeCell ref="H51:M51"/>
    <mergeCell ref="O51:T51"/>
    <mergeCell ref="U51:Z51"/>
    <mergeCell ref="B59:I59"/>
    <mergeCell ref="J59:Z59"/>
    <mergeCell ref="B60:I60"/>
    <mergeCell ref="J60:Z60"/>
    <mergeCell ref="B61:I61"/>
    <mergeCell ref="J61:Z61"/>
    <mergeCell ref="B55:O55"/>
    <mergeCell ref="P55:Z55"/>
    <mergeCell ref="B57:L57"/>
    <mergeCell ref="B58:I58"/>
    <mergeCell ref="J58:T58"/>
    <mergeCell ref="U58:Z58"/>
    <mergeCell ref="B65:I65"/>
    <mergeCell ref="J65:Z65"/>
    <mergeCell ref="B66:I66"/>
    <mergeCell ref="J66:Z66"/>
    <mergeCell ref="B67:I67"/>
    <mergeCell ref="J67:Z67"/>
    <mergeCell ref="B62:I62"/>
    <mergeCell ref="J62:Z62"/>
    <mergeCell ref="B63:I63"/>
    <mergeCell ref="J63:Z63"/>
    <mergeCell ref="B64:I64"/>
    <mergeCell ref="J64:Z64"/>
    <mergeCell ref="B71:I71"/>
    <mergeCell ref="J71:Z71"/>
    <mergeCell ref="B72:I72"/>
    <mergeCell ref="J72:Z72"/>
    <mergeCell ref="B73:I73"/>
    <mergeCell ref="J73:Z73"/>
    <mergeCell ref="B68:I68"/>
    <mergeCell ref="J68:Z68"/>
    <mergeCell ref="B69:I69"/>
    <mergeCell ref="J69:Z69"/>
    <mergeCell ref="B70:I70"/>
    <mergeCell ref="J70:Z70"/>
    <mergeCell ref="B77:I77"/>
    <mergeCell ref="J77:Z77"/>
    <mergeCell ref="B78:I78"/>
    <mergeCell ref="J78:Z78"/>
    <mergeCell ref="B79:I79"/>
    <mergeCell ref="J79:Z79"/>
    <mergeCell ref="B74:I74"/>
    <mergeCell ref="J74:Z74"/>
    <mergeCell ref="B75:I75"/>
    <mergeCell ref="J75:Z75"/>
    <mergeCell ref="B76:I76"/>
    <mergeCell ref="J76:Z76"/>
    <mergeCell ref="B83:I83"/>
    <mergeCell ref="J83:Z83"/>
    <mergeCell ref="B84:I84"/>
    <mergeCell ref="J84:Z84"/>
    <mergeCell ref="B85:I85"/>
    <mergeCell ref="J85:Z85"/>
    <mergeCell ref="B80:I80"/>
    <mergeCell ref="J80:Z80"/>
    <mergeCell ref="B81:I81"/>
    <mergeCell ref="J81:Z81"/>
    <mergeCell ref="B82:I82"/>
    <mergeCell ref="J82:Z82"/>
    <mergeCell ref="B90:Z90"/>
    <mergeCell ref="B91:Z91"/>
    <mergeCell ref="B93:Z93"/>
    <mergeCell ref="B94:Z94"/>
    <mergeCell ref="B86:I86"/>
    <mergeCell ref="J86:Z86"/>
    <mergeCell ref="B87:I87"/>
    <mergeCell ref="J87:Z87"/>
    <mergeCell ref="B88:I88"/>
    <mergeCell ref="J88:T88"/>
    <mergeCell ref="U88:Z88"/>
  </mergeCells>
  <phoneticPr fontId="5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 9단 </vt:lpstr>
      <vt:lpstr>신영웅</vt:lpstr>
      <vt:lpstr>금등어</vt:lpstr>
      <vt:lpstr>금등어 (2)</vt:lpstr>
      <vt:lpstr>금막창</vt:lpstr>
      <vt:lpstr>급여명세서</vt:lpstr>
      <vt:lpstr>급여명세서 (2)</vt:lpstr>
      <vt:lpstr>급여명세서!Print_Area</vt:lpstr>
      <vt:lpstr>'급여명세서 (2)'!Print_Area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엄혜선</dc:creator>
  <cp:lastModifiedBy>user</cp:lastModifiedBy>
  <cp:lastPrinted>2026-04-09T16:07:49Z</cp:lastPrinted>
  <dcterms:created xsi:type="dcterms:W3CDTF">2026-04-06T15:07:53Z</dcterms:created>
  <dcterms:modified xsi:type="dcterms:W3CDTF">2026-08-08T04:31:01Z</dcterms:modified>
</cp:coreProperties>
</file>